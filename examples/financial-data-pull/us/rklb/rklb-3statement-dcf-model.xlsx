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Revenue Build" sheetId="4" state="visible" r:id="rId4"/>
    <sheet xmlns:r="http://schemas.openxmlformats.org/officeDocument/2006/relationships" name="Income Statement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666666"/>
    </font>
    <font>
      <color rgb="000000FF"/>
    </font>
    <font>
      <color rgb="00008000"/>
    </font>
    <font/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164" fontId="7" fillId="4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financial-data</author>
  </authors>
  <commentList>
    <comment ref="E6" authorId="0" shapeId="0">
      <text>
        <t>Source: driver-map judgment; editable assumption.</t>
      </text>
    </comment>
    <comment ref="F6" authorId="0" shapeId="0">
      <text>
        <t>Source: driver-map judgment; editable assumption.</t>
      </text>
    </comment>
    <comment ref="G6" authorId="0" shapeId="0">
      <text>
        <t>Source: driver-map judgment; editable assumption.</t>
      </text>
    </comment>
    <comment ref="H6" authorId="0" shapeId="0">
      <text>
        <t>Source: driver-map judgment; editable assumption.</t>
      </text>
    </comment>
    <comment ref="I6" authorId="0" shapeId="0">
      <text>
        <t>Source: driver-map judgment; editable assumption.</t>
      </text>
    </comment>
    <comment ref="E7" authorId="0" shapeId="0">
      <text>
        <t>Source: driver-map judgment; editable assumption.</t>
      </text>
    </comment>
    <comment ref="F7" authorId="0" shapeId="0">
      <text>
        <t>Source: driver-map judgment; editable assumption.</t>
      </text>
    </comment>
    <comment ref="G7" authorId="0" shapeId="0">
      <text>
        <t>Source: driver-map judgment; editable assumption.</t>
      </text>
    </comment>
    <comment ref="H7" authorId="0" shapeId="0">
      <text>
        <t>Source: driver-map judgment; editable assumption.</t>
      </text>
    </comment>
    <comment ref="I7" authorId="0" shapeId="0">
      <text>
        <t>Source: driver-map judgment; editable assumption.</t>
      </text>
    </comment>
    <comment ref="E8" authorId="0" shapeId="0">
      <text>
        <t>Source: driver-map judgment; editable assumption.</t>
      </text>
    </comment>
    <comment ref="F8" authorId="0" shapeId="0">
      <text>
        <t>Source: driver-map judgment; editable assumption.</t>
      </text>
    </comment>
    <comment ref="G8" authorId="0" shapeId="0">
      <text>
        <t>Source: driver-map judgment; editable assumption.</t>
      </text>
    </comment>
    <comment ref="H8" authorId="0" shapeId="0">
      <text>
        <t>Source: driver-map judgment; editable assumption.</t>
      </text>
    </comment>
    <comment ref="I8" authorId="0" shapeId="0">
      <text>
        <t>Source: driver-map judgment; editable assumption.</t>
      </text>
    </comment>
    <comment ref="E9" authorId="0" shapeId="0">
      <text>
        <t>Source: driver-map judgment; editable assumption.</t>
      </text>
    </comment>
    <comment ref="F9" authorId="0" shapeId="0">
      <text>
        <t>Source: driver-map judgment; editable assumption.</t>
      </text>
    </comment>
    <comment ref="G9" authorId="0" shapeId="0">
      <text>
        <t>Source: driver-map judgment; editable assumption.</t>
      </text>
    </comment>
    <comment ref="H9" authorId="0" shapeId="0">
      <text>
        <t>Source: driver-map judgment; editable assumption.</t>
      </text>
    </comment>
    <comment ref="I9" authorId="0" shapeId="0">
      <text>
        <t>Source: driver-map judgment; editable assumption.</t>
      </text>
    </comment>
    <comment ref="E10" authorId="0" shapeId="0">
      <text>
        <t>Source: driver-map judgment; editable assumption.</t>
      </text>
    </comment>
    <comment ref="F10" authorId="0" shapeId="0">
      <text>
        <t>Source: driver-map judgment; editable assumption.</t>
      </text>
    </comment>
    <comment ref="G10" authorId="0" shapeId="0">
      <text>
        <t>Source: driver-map judgment; editable assumption.</t>
      </text>
    </comment>
    <comment ref="H10" authorId="0" shapeId="0">
      <text>
        <t>Source: driver-map judgment; editable assumption.</t>
      </text>
    </comment>
    <comment ref="I10" authorId="0" shapeId="0">
      <text>
        <t>Source: driver-map judgment; editable assumption.</t>
      </text>
    </comment>
    <comment ref="E11" authorId="0" shapeId="0">
      <text>
        <t>Source: driver-map judgment; editable assumption.</t>
      </text>
    </comment>
    <comment ref="F11" authorId="0" shapeId="0">
      <text>
        <t>Source: driver-map judgment; editable assumption.</t>
      </text>
    </comment>
    <comment ref="G11" authorId="0" shapeId="0">
      <text>
        <t>Source: driver-map judgment; editable assumption.</t>
      </text>
    </comment>
    <comment ref="H11" authorId="0" shapeId="0">
      <text>
        <t>Source: driver-map judgment; editable assumption.</t>
      </text>
    </comment>
    <comment ref="I11" authorId="0" shapeId="0">
      <text>
        <t>Source: driver-map judgment; editable assumption.</t>
      </text>
    </comment>
    <comment ref="E12" authorId="0" shapeId="0">
      <text>
        <t>Source: driver-map judgment; editable assumption.</t>
      </text>
    </comment>
    <comment ref="F12" authorId="0" shapeId="0">
      <text>
        <t>Source: driver-map judgment; editable assumption.</t>
      </text>
    </comment>
    <comment ref="G12" authorId="0" shapeId="0">
      <text>
        <t>Source: driver-map judgment; editable assumption.</t>
      </text>
    </comment>
    <comment ref="H12" authorId="0" shapeId="0">
      <text>
        <t>Source: driver-map judgment; editable assumption.</t>
      </text>
    </comment>
    <comment ref="I12" authorId="0" shapeId="0">
      <text>
        <t>Source: driver-map judgment; editable assumption.</t>
      </text>
    </comment>
    <comment ref="E13" authorId="0" shapeId="0">
      <text>
        <t>Source: driver-map judgment; editable assumption.</t>
      </text>
    </comment>
    <comment ref="F13" authorId="0" shapeId="0">
      <text>
        <t>Source: driver-map judgment; editable assumption.</t>
      </text>
    </comment>
    <comment ref="G13" authorId="0" shapeId="0">
      <text>
        <t>Source: driver-map judgment; editable assumption.</t>
      </text>
    </comment>
    <comment ref="H13" authorId="0" shapeId="0">
      <text>
        <t>Source: driver-map judgment; editable assumption.</t>
      </text>
    </comment>
    <comment ref="I13" authorId="0" shapeId="0">
      <text>
        <t>Source: driver-map judgment; editable assumption.</t>
      </text>
    </comment>
    <comment ref="E14" authorId="0" shapeId="0">
      <text>
        <t>Source: driver-map judgment; editable assumption.</t>
      </text>
    </comment>
    <comment ref="F14" authorId="0" shapeId="0">
      <text>
        <t>Source: driver-map judgment; editable assumption.</t>
      </text>
    </comment>
    <comment ref="G14" authorId="0" shapeId="0">
      <text>
        <t>Source: driver-map judgment; editable assumption.</t>
      </text>
    </comment>
    <comment ref="H14" authorId="0" shapeId="0">
      <text>
        <t>Source: driver-map judgment; editable assumption.</t>
      </text>
    </comment>
    <comment ref="I14" authorId="0" shapeId="0">
      <text>
        <t>Source: driver-map judgment; editable assumption.</t>
      </text>
    </comment>
    <comment ref="E15" authorId="0" shapeId="0">
      <text>
        <t>Source: driver-map judgment; editable assumption.</t>
      </text>
    </comment>
    <comment ref="F15" authorId="0" shapeId="0">
      <text>
        <t>Source: driver-map judgment; editable assumption.</t>
      </text>
    </comment>
    <comment ref="G15" authorId="0" shapeId="0">
      <text>
        <t>Source: driver-map judgment; editable assumption.</t>
      </text>
    </comment>
    <comment ref="H15" authorId="0" shapeId="0">
      <text>
        <t>Source: driver-map judgment; editable assumption.</t>
      </text>
    </comment>
    <comment ref="I15" authorId="0" shapeId="0">
      <text>
        <t>Source: driver-map judgment; editable assumption.</t>
      </text>
    </comment>
    <comment ref="E16" authorId="0" shapeId="0">
      <text>
        <t>Source: driver-map judgment; editable assumption.</t>
      </text>
    </comment>
    <comment ref="F16" authorId="0" shapeId="0">
      <text>
        <t>Source: driver-map judgment; editable assumption.</t>
      </text>
    </comment>
    <comment ref="G16" authorId="0" shapeId="0">
      <text>
        <t>Source: driver-map judgment; editable assumption.</t>
      </text>
    </comment>
    <comment ref="H16" authorId="0" shapeId="0">
      <text>
        <t>Source: driver-map judgment; editable assumption.</t>
      </text>
    </comment>
    <comment ref="I16" authorId="0" shapeId="0">
      <text>
        <t>Source: driver-map judgment; editable assumption.</t>
      </text>
    </comment>
    <comment ref="E17" authorId="0" shapeId="0">
      <text>
        <t>Source: driver-map judgment; editable assumption.</t>
      </text>
    </comment>
    <comment ref="F17" authorId="0" shapeId="0">
      <text>
        <t>Source: driver-map judgment; editable assumption.</t>
      </text>
    </comment>
    <comment ref="G17" authorId="0" shapeId="0">
      <text>
        <t>Source: driver-map judgment; editable assumption.</t>
      </text>
    </comment>
    <comment ref="H17" authorId="0" shapeId="0">
      <text>
        <t>Source: driver-map judgment; editable assumption.</t>
      </text>
    </comment>
    <comment ref="I17" authorId="0" shapeId="0">
      <text>
        <t>Source: driver-map judgment; editable assumption.</t>
      </text>
    </comment>
    <comment ref="E18" authorId="0" shapeId="0">
      <text>
        <t>Source: driver-map judgment; editable assumption.</t>
      </text>
    </comment>
    <comment ref="F18" authorId="0" shapeId="0">
      <text>
        <t>Source: driver-map judgment; editable assumption.</t>
      </text>
    </comment>
    <comment ref="G18" authorId="0" shapeId="0">
      <text>
        <t>Source: driver-map judgment; editable assumption.</t>
      </text>
    </comment>
    <comment ref="H18" authorId="0" shapeId="0">
      <text>
        <t>Source: driver-map judgment; editable assumption.</t>
      </text>
    </comment>
    <comment ref="I18" authorId="0" shapeId="0">
      <text>
        <t>Source: driver-map judgment; editable assumption.</t>
      </text>
    </comment>
    <comment ref="E19" authorId="0" shapeId="0">
      <text>
        <t>Source: driver-map judgment; editable assumption.</t>
      </text>
    </comment>
    <comment ref="F19" authorId="0" shapeId="0">
      <text>
        <t>Source: driver-map judgment; editable assumption.</t>
      </text>
    </comment>
    <comment ref="G19" authorId="0" shapeId="0">
      <text>
        <t>Source: driver-map judgment; editable assumption.</t>
      </text>
    </comment>
    <comment ref="H19" authorId="0" shapeId="0">
      <text>
        <t>Source: driver-map judgment; editable assumption.</t>
      </text>
    </comment>
    <comment ref="I19" authorId="0" shapeId="0">
      <text>
        <t>Source: driver-map judgment; editable assumption.</t>
      </text>
    </comment>
    <comment ref="E20" authorId="0" shapeId="0">
      <text>
        <t>Source: driver-map judgment; editable assumption.</t>
      </text>
    </comment>
    <comment ref="F20" authorId="0" shapeId="0">
      <text>
        <t>Source: driver-map judgment; editable assumption.</t>
      </text>
    </comment>
    <comment ref="G20" authorId="0" shapeId="0">
      <text>
        <t>Source: driver-map judgment; editable assumption.</t>
      </text>
    </comment>
    <comment ref="H20" authorId="0" shapeId="0">
      <text>
        <t>Source: driver-map judgment; editable assumption.</t>
      </text>
    </comment>
    <comment ref="I20" authorId="0" shapeId="0">
      <text>
        <t>Source: driver-map judgment; editable assumption.</t>
      </text>
    </comment>
    <comment ref="E21" authorId="0" shapeId="0">
      <text>
        <t>Source: driver-map judgment; editable assumption.</t>
      </text>
    </comment>
    <comment ref="F21" authorId="0" shapeId="0">
      <text>
        <t>Source: driver-map judgment; editable assumption.</t>
      </text>
    </comment>
    <comment ref="G21" authorId="0" shapeId="0">
      <text>
        <t>Source: driver-map judgment; editable assumption.</t>
      </text>
    </comment>
    <comment ref="H21" authorId="0" shapeId="0">
      <text>
        <t>Source: driver-map judgment; editable assumption.</t>
      </text>
    </comment>
    <comment ref="I21" authorId="0" shapeId="0">
      <text>
        <t>Source: driver-map judgment; editable assumption.</t>
      </text>
    </comment>
    <comment ref="E22" authorId="0" shapeId="0">
      <text>
        <t>Source: driver-map judgment; editable assumption.</t>
      </text>
    </comment>
    <comment ref="F22" authorId="0" shapeId="0">
      <text>
        <t>Source: driver-map judgment; editable assumption.</t>
      </text>
    </comment>
    <comment ref="G22" authorId="0" shapeId="0">
      <text>
        <t>Source: driver-map judgment; editable assumption.</t>
      </text>
    </comment>
    <comment ref="H22" authorId="0" shapeId="0">
      <text>
        <t>Source: driver-map judgment; editable assumption.</t>
      </text>
    </comment>
    <comment ref="I22" authorId="0" shapeId="0">
      <text>
        <t>Source: driver-map judgment; editable assumption.</t>
      </text>
    </comment>
    <comment ref="E23" authorId="0" shapeId="0">
      <text>
        <t>Source: driver-map judgment; editable assumption.</t>
      </text>
    </comment>
    <comment ref="F23" authorId="0" shapeId="0">
      <text>
        <t>Source: driver-map judgment; editable assumption.</t>
      </text>
    </comment>
    <comment ref="G23" authorId="0" shapeId="0">
      <text>
        <t>Source: driver-map judgment; editable assumption.</t>
      </text>
    </comment>
    <comment ref="H23" authorId="0" shapeId="0">
      <text>
        <t>Source: driver-map judgment; editable assumption.</t>
      </text>
    </comment>
    <comment ref="I23" authorId="0" shapeId="0">
      <text>
        <t>Source: driver-map judgment; editable assumption.</t>
      </text>
    </comment>
    <comment ref="E24" authorId="0" shapeId="0">
      <text>
        <t>Source: driver-map judgment; editable assumption.</t>
      </text>
    </comment>
    <comment ref="F24" authorId="0" shapeId="0">
      <text>
        <t>Source: driver-map judgment; editable assumption.</t>
      </text>
    </comment>
    <comment ref="G24" authorId="0" shapeId="0">
      <text>
        <t>Source: driver-map judgment; editable assumption.</t>
      </text>
    </comment>
    <comment ref="H24" authorId="0" shapeId="0">
      <text>
        <t>Source: driver-map judgment; editable assumption.</t>
      </text>
    </comment>
    <comment ref="I24" authorId="0" shapeId="0">
      <text>
        <t>Source: driver-map judgment; editable assumption.</t>
      </text>
    </comment>
    <comment ref="E25" authorId="0" shapeId="0">
      <text>
        <t>Source: driver-map judgment; editable assumption.</t>
      </text>
    </comment>
    <comment ref="F25" authorId="0" shapeId="0">
      <text>
        <t>Source: driver-map judgment; editable assumption.</t>
      </text>
    </comment>
    <comment ref="G25" authorId="0" shapeId="0">
      <text>
        <t>Source: driver-map judgment; editable assumption.</t>
      </text>
    </comment>
    <comment ref="H25" authorId="0" shapeId="0">
      <text>
        <t>Source: driver-map judgment; editable assumption.</t>
      </text>
    </comment>
    <comment ref="I25" authorId="0" shapeId="0">
      <text>
        <t>Source: driver-map judgment; editable assumption.</t>
      </text>
    </comment>
    <comment ref="B30" authorId="0" shapeId="0">
      <text>
        <t>Source: financial-data / editable valuation input.</t>
      </text>
    </comment>
    <comment ref="B31" authorId="0" shapeId="0">
      <text>
        <t>Source: financial-data / editable valuation input.</t>
      </text>
    </comment>
    <comment ref="B32" authorId="0" shapeId="0">
      <text>
        <t>Source: financial-data / editable valuation input.</t>
      </text>
    </comment>
    <comment ref="B33" authorId="0" shapeId="0">
      <text>
        <t>Source: financial-data / editable valuation input.</t>
      </text>
    </comment>
    <comment ref="B34" authorId="0" shapeId="0">
      <text>
        <t>Source: financial-data / editable valuation input.</t>
      </text>
    </comment>
    <comment ref="B35" authorId="0" shapeId="0">
      <text>
        <t>Source: financial-data / editable valuation input.</t>
      </text>
    </comment>
  </commentList>
</comments>
</file>

<file path=xl/comments/comment2.xml><?xml version="1.0" encoding="utf-8"?>
<comments xmlns="http://schemas.openxmlformats.org/spreadsheetml/2006/main">
  <authors>
    <author>financial-data</author>
  </authors>
  <commentList>
    <comment ref="B6" authorId="0" shapeId="0">
      <text>
        <t>Source: RKLB FY2025 10-K segment table.</t>
      </text>
    </comment>
    <comment ref="C6" authorId="0" shapeId="0">
      <text>
        <t>Source: RKLB FY2025 10-K segment table.</t>
      </text>
    </comment>
    <comment ref="D6" authorId="0" shapeId="0">
      <text>
        <t>Source: RKLB FY2025 10-K segment table.</t>
      </text>
    </comment>
    <comment ref="B8" authorId="0" shapeId="0">
      <text>
        <t>Source: RKLB FY2025 10-K segment gross profit / revenue.</t>
      </text>
    </comment>
    <comment ref="C8" authorId="0" shapeId="0">
      <text>
        <t>Source: RKLB FY2025 10-K segment gross profit / revenue.</t>
      </text>
    </comment>
    <comment ref="D8" authorId="0" shapeId="0">
      <text>
        <t>Source: RKLB FY2025 10-K segment gross profit / revenue.</t>
      </text>
    </comment>
    <comment ref="B9" authorId="0" shapeId="0">
      <text>
        <t>Source: RKLB FY2025 10-K segment table.</t>
      </text>
    </comment>
    <comment ref="C9" authorId="0" shapeId="0">
      <text>
        <t>Source: RKLB FY2025 10-K segment table.</t>
      </text>
    </comment>
    <comment ref="D9" authorId="0" shapeId="0">
      <text>
        <t>Source: RKLB FY2025 10-K segment table.</t>
      </text>
    </comment>
    <comment ref="B12" authorId="0" shapeId="0">
      <text>
        <t>Source: RKLB FY2025 10-K product/service segment table.</t>
      </text>
    </comment>
    <comment ref="C12" authorId="0" shapeId="0">
      <text>
        <t>Source: RKLB FY2025 10-K product/service segment table.</t>
      </text>
    </comment>
    <comment ref="D12" authorId="0" shapeId="0">
      <text>
        <t>Source: RKLB FY2025 10-K product/service segment table.</t>
      </text>
    </comment>
    <comment ref="B14" authorId="0" shapeId="0">
      <text>
        <t>Source: RKLB FY2025 10-K product/service table.</t>
      </text>
    </comment>
    <comment ref="C14" authorId="0" shapeId="0">
      <text>
        <t>Source: RKLB FY2025 10-K product/service table.</t>
      </text>
    </comment>
    <comment ref="D14" authorId="0" shapeId="0">
      <text>
        <t>Source: RKLB FY2025 10-K product/service table.</t>
      </text>
    </comment>
    <comment ref="B18" authorId="0" shapeId="0">
      <text>
        <t>Source: RKLB FY2025 10-K product/service segment table.</t>
      </text>
    </comment>
    <comment ref="C18" authorId="0" shapeId="0">
      <text>
        <t>Source: RKLB FY2025 10-K product/service segment table.</t>
      </text>
    </comment>
    <comment ref="D18" authorId="0" shapeId="0">
      <text>
        <t>Source: RKLB FY2025 10-K product/service segment table.</t>
      </text>
    </comment>
    <comment ref="B20" authorId="0" shapeId="0">
      <text>
        <t>Source: RKLB FY2025 10-K product/service table.</t>
      </text>
    </comment>
    <comment ref="C20" authorId="0" shapeId="0">
      <text>
        <t>Source: RKLB FY2025 10-K product/service table.</t>
      </text>
    </comment>
    <comment ref="D20" authorId="0" shapeId="0">
      <text>
        <t>Source: RKLB FY2025 10-K product/service table.</t>
      </text>
    </comment>
    <comment ref="D32" authorId="0" shapeId="0">
      <text>
        <t>Source: internal/financial-data/full-filing.md; company-level backlog, not segment-disclosed.</t>
      </text>
    </comment>
    <comment ref="D33" authorId="0" shapeId="0">
      <text>
        <t>Source: RKLB FY2025 10-K backlog note.</t>
      </text>
    </comment>
  </commentList>
</comments>
</file>

<file path=xl/comments/comment3.xml><?xml version="1.0" encoding="utf-8"?>
<comments xmlns="http://schemas.openxmlformats.org/spreadsheetml/2006/main">
  <authors>
    <author>financial-data</author>
  </authors>
  <commentList>
    <comment ref="B5" authorId="0" shapeId="0">
      <text>
        <t>Source: financials.normalized.json / SEC XBRL.</t>
      </text>
    </comment>
    <comment ref="C5" authorId="0" shapeId="0">
      <text>
        <t>Source: financials.normalized.json / SEC XBRL.</t>
      </text>
    </comment>
    <comment ref="D5" authorId="0" shapeId="0">
      <text>
        <t>Source: financials.normalized.json / SEC XBRL.</t>
      </text>
    </comment>
    <comment ref="B8" authorId="0" shapeId="0">
      <text>
        <t>Source: financials.normalized.json / SEC XBRL.</t>
      </text>
    </comment>
    <comment ref="C8" authorId="0" shapeId="0">
      <text>
        <t>Source: financials.normalized.json / SEC XBRL.</t>
      </text>
    </comment>
    <comment ref="D8" authorId="0" shapeId="0">
      <text>
        <t>Source: financials.normalized.json / SEC XBRL.</t>
      </text>
    </comment>
    <comment ref="B9" authorId="0" shapeId="0">
      <text>
        <t>Source: financials.normalized.json / SEC XBRL.</t>
      </text>
    </comment>
    <comment ref="C9" authorId="0" shapeId="0">
      <text>
        <t>Source: financials.normalized.json / SEC XBRL.</t>
      </text>
    </comment>
    <comment ref="D9" authorId="0" shapeId="0">
      <text>
        <t>Source: financials.normalized.json / SEC XBRL.</t>
      </text>
    </comment>
    <comment ref="B12" authorId="0" shapeId="0">
      <text>
        <t>Source: financials.normalized.json / SEC XBRL.</t>
      </text>
    </comment>
    <comment ref="C12" authorId="0" shapeId="0">
      <text>
        <t>Source: financials.normalized.json / SEC XBRL.</t>
      </text>
    </comment>
    <comment ref="D12" authorId="0" shapeId="0">
      <text>
        <t>Source: financials.normalized.json / SEC XBRL.</t>
      </text>
    </comment>
    <comment ref="B13" authorId="0" shapeId="0">
      <text>
        <t>Source: financials.normalized.json / SEC XBRL.</t>
      </text>
    </comment>
    <comment ref="C13" authorId="0" shapeId="0">
      <text>
        <t>Source: financials.normalized.json / SEC XBRL.</t>
      </text>
    </comment>
    <comment ref="D13" authorId="0" shapeId="0">
      <text>
        <t>Source: financials.normalized.json / SEC XBRL.</t>
      </text>
    </comment>
    <comment ref="B14" authorId="0" shapeId="0">
      <text>
        <t>Source: financials.normalized.json / SEC XBRL.</t>
      </text>
    </comment>
    <comment ref="C14" authorId="0" shapeId="0">
      <text>
        <t>Source: financials.normalized.json / SEC XBRL.</t>
      </text>
    </comment>
    <comment ref="D14" authorId="0" shapeId="0">
      <text>
        <t>Source: financials.normalized.json / SEC XBRL.</t>
      </text>
    </comment>
    <comment ref="B15" authorId="0" shapeId="0">
      <text>
        <t>Source: financials.normalized.json / SEC XBRL.</t>
      </text>
    </comment>
    <comment ref="C15" authorId="0" shapeId="0">
      <text>
        <t>Source: financials.normalized.json / SEC XBRL.</t>
      </text>
    </comment>
    <comment ref="D15" authorId="0" shapeId="0">
      <text>
        <t>Source: financials.normalized.json / SEC XBRL.</t>
      </text>
    </comment>
    <comment ref="B18" authorId="0" shapeId="0">
      <text>
        <t>Source: financials.normalized.json / SEC XBRL.</t>
      </text>
    </comment>
    <comment ref="C18" authorId="0" shapeId="0">
      <text>
        <t>Source: financials.normalized.json / SEC XBRL.</t>
      </text>
    </comment>
    <comment ref="D18" authorId="0" shapeId="0">
      <text>
        <t>Source: financials.normalized.json / SEC XBRL.</t>
      </text>
    </comment>
    <comment ref="B22" authorId="0" shapeId="0">
      <text>
        <t>Source: financials.normalized.json / SEC XBRL net interest fallback.</t>
      </text>
    </comment>
    <comment ref="C22" authorId="0" shapeId="0">
      <text>
        <t>Source: financials.normalized.json / SEC XBRL net interest fallback.</t>
      </text>
    </comment>
    <comment ref="D22" authorId="0" shapeId="0">
      <text>
        <t>Source: financials.normalized.json / SEC XBRL.</t>
      </text>
    </comment>
    <comment ref="B23" authorId="0" shapeId="0">
      <text>
        <t>Source: financials.normalized.json / SEC XBRL.</t>
      </text>
    </comment>
    <comment ref="C23" authorId="0" shapeId="0">
      <text>
        <t>Source: financials.normalized.json / SEC XBRL.</t>
      </text>
    </comment>
    <comment ref="D23" authorId="0" shapeId="0">
      <text>
        <t>Source: financials.normalized.json / SEC XBRL.</t>
      </text>
    </comment>
    <comment ref="B25" authorId="0" shapeId="0">
      <text>
        <t>Source: financials.normalized.json / SEC XBRL.</t>
      </text>
    </comment>
    <comment ref="C25" authorId="0" shapeId="0">
      <text>
        <t>Source: financials.normalized.json / SEC XBRL.</t>
      </text>
    </comment>
    <comment ref="D25" authorId="0" shapeId="0">
      <text>
        <t>Source: financials.normalized.json / SEC XBRL.</t>
      </text>
    </comment>
    <comment ref="B26" authorId="0" shapeId="0">
      <text>
        <t>Source: financials.normalized.json / SEC XBRL.</t>
      </text>
    </comment>
    <comment ref="C26" authorId="0" shapeId="0">
      <text>
        <t>Source: financials.normalized.json / SEC XBRL.</t>
      </text>
    </comment>
    <comment ref="D26" authorId="0" shapeId="0">
      <text>
        <t>Source: financials.normalized.json / SEC XBRL.</t>
      </text>
    </comment>
    <comment ref="B29" authorId="0" shapeId="0">
      <text>
        <t>Source: financials.normalized.json / SEC XBRL.</t>
      </text>
    </comment>
    <comment ref="C29" authorId="0" shapeId="0">
      <text>
        <t>Source: financials.normalized.json / SEC XBRL.</t>
      </text>
    </comment>
    <comment ref="D29" authorId="0" shapeId="0">
      <text>
        <t>Source: financials.normalized.json / SEC XBRL.</t>
      </text>
    </comment>
    <comment ref="B30" authorId="0" shapeId="0">
      <text>
        <t>Source: financials.normalized.json / SEC XBRL.</t>
      </text>
    </comment>
    <comment ref="C30" authorId="0" shapeId="0">
      <text>
        <t>Source: financials.normalized.json / SEC XBRL.</t>
      </text>
    </comment>
    <comment ref="D30" authorId="0" shapeId="0">
      <text>
        <t>Source: financials.normalized.json / SEC XBRL.</t>
      </text>
    </comment>
  </commentList>
</comments>
</file>

<file path=xl/comments/comment4.xml><?xml version="1.0" encoding="utf-8"?>
<comments xmlns="http://schemas.openxmlformats.org/spreadsheetml/2006/main">
  <authors>
    <author>financial-data</author>
  </authors>
  <commentList>
    <comment ref="B5" authorId="0" shapeId="0">
      <text>
        <t>Source: financials.normalized.json / SEC XBRL.</t>
      </text>
    </comment>
    <comment ref="C5" authorId="0" shapeId="0">
      <text>
        <t>Source: financials.normalized.json / SEC XBRL.</t>
      </text>
    </comment>
    <comment ref="D5" authorId="0" shapeId="0">
      <text>
        <t>Source: financials.normalized.json / SEC XBRL.</t>
      </text>
    </comment>
    <comment ref="B6" authorId="0" shapeId="0">
      <text>
        <t>Source: financials.normalized.json / SEC XBRL.</t>
      </text>
    </comment>
    <comment ref="C6" authorId="0" shapeId="0">
      <text>
        <t>Source: financials.normalized.json / SEC XBRL.</t>
      </text>
    </comment>
    <comment ref="D6" authorId="0" shapeId="0">
      <text>
        <t>Source: financials.normalized.json / SEC XBRL.</t>
      </text>
    </comment>
    <comment ref="B7" authorId="0" shapeId="0">
      <text>
        <t>Source: financials.normalized.json / SEC XBRL.</t>
      </text>
    </comment>
    <comment ref="C7" authorId="0" shapeId="0">
      <text>
        <t>Source: financials.normalized.json / SEC XBRL.</t>
      </text>
    </comment>
    <comment ref="D7" authorId="0" shapeId="0">
      <text>
        <t>Source: financials.normalized.json / SEC XBRL.</t>
      </text>
    </comment>
    <comment ref="B8" authorId="0" shapeId="0">
      <text>
        <t>Source: financials.normalized.json / SEC XBRL.</t>
      </text>
    </comment>
    <comment ref="C8" authorId="0" shapeId="0">
      <text>
        <t>Source: financials.normalized.json / SEC XBRL.</t>
      </text>
    </comment>
    <comment ref="D8" authorId="0" shapeId="0">
      <text>
        <t>Source: financials.normalized.json / SEC XBRL.</t>
      </text>
    </comment>
    <comment ref="B9" authorId="0" shapeId="0">
      <text>
        <t>Source: financials.normalized.json / SEC XBRL.</t>
      </text>
    </comment>
    <comment ref="C9" authorId="0" shapeId="0">
      <text>
        <t>Source: financials.normalized.json / SEC XBRL.</t>
      </text>
    </comment>
    <comment ref="D9" authorId="0" shapeId="0">
      <text>
        <t>Source: financials.normalized.json / SEC XBRL.</t>
      </text>
    </comment>
    <comment ref="B11" authorId="0" shapeId="0">
      <text>
        <t>Source: financials.normalized.json / SEC XBRL.</t>
      </text>
    </comment>
    <comment ref="C11" authorId="0" shapeId="0">
      <text>
        <t>Source: financials.normalized.json / SEC XBRL.</t>
      </text>
    </comment>
    <comment ref="D11" authorId="0" shapeId="0">
      <text>
        <t>Source: financials.normalized.json / SEC XBRL.</t>
      </text>
    </comment>
    <comment ref="B12" authorId="0" shapeId="0">
      <text>
        <t>Source: financials.normalized.json / SEC XBRL.</t>
      </text>
    </comment>
    <comment ref="C12" authorId="0" shapeId="0">
      <text>
        <t>Source: financials.normalized.json / SEC XBRL.</t>
      </text>
    </comment>
    <comment ref="D12" authorId="0" shapeId="0">
      <text>
        <t>Source: financials.normalized.json / SEC XBRL.</t>
      </text>
    </comment>
    <comment ref="B13" authorId="0" shapeId="0">
      <text>
        <t>Source: financials.normalized.json / SEC XBRL.</t>
      </text>
    </comment>
    <comment ref="C13" authorId="0" shapeId="0">
      <text>
        <t>Source: financials.normalized.json / SEC XBRL.</t>
      </text>
    </comment>
    <comment ref="D13" authorId="0" shapeId="0">
      <text>
        <t>Source: financials.normalized.json / SEC XBRL.</t>
      </text>
    </comment>
    <comment ref="B14" authorId="0" shapeId="0">
      <text>
        <t>Source: financials.normalized.json / SEC XBRL.</t>
      </text>
    </comment>
    <comment ref="C14" authorId="0" shapeId="0">
      <text>
        <t>Source: financials.normalized.json / SEC XBRL.</t>
      </text>
    </comment>
    <comment ref="D14" authorId="0" shapeId="0">
      <text>
        <t>Source: financials.normalized.json / SEC XBRL.</t>
      </text>
    </comment>
    <comment ref="B15" authorId="0" shapeId="0">
      <text>
        <t>Source: financials.normalized.json / SEC XBRL.</t>
      </text>
    </comment>
    <comment ref="C15" authorId="0" shapeId="0">
      <text>
        <t>Source: financials.normalized.json / SEC XBRL.</t>
      </text>
    </comment>
    <comment ref="D15" authorId="0" shapeId="0">
      <text>
        <t>Source: financials.normalized.json / SEC XBRL.</t>
      </text>
    </comment>
    <comment ref="B17" authorId="0" shapeId="0">
      <text>
        <t>Source: financials.normalized.json / SEC XBRL.</t>
      </text>
    </comment>
    <comment ref="C17" authorId="0" shapeId="0">
      <text>
        <t>Source: financials.normalized.json / SEC XBRL.</t>
      </text>
    </comment>
    <comment ref="D17" authorId="0" shapeId="0">
      <text>
        <t>Source: financials.normalized.json / SEC XBRL.</t>
      </text>
    </comment>
    <comment ref="B18" authorId="0" shapeId="0">
      <text>
        <t>Source: financials.normalized.json / SEC XBRL.</t>
      </text>
    </comment>
    <comment ref="C18" authorId="0" shapeId="0">
      <text>
        <t>Source: financials.normalized.json / SEC XBRL.</t>
      </text>
    </comment>
    <comment ref="D18" authorId="0" shapeId="0">
      <text>
        <t>Source: financials.normalized.json / SEC XBRL.</t>
      </text>
    </comment>
    <comment ref="B19" authorId="0" shapeId="0">
      <text>
        <t>Source: internal/financial-data/full-filing.md contract liabilities table.</t>
      </text>
    </comment>
    <comment ref="C19" authorId="0" shapeId="0">
      <text>
        <t>Source: internal/financial-data/full-filing.md contract liabilities table.</t>
      </text>
    </comment>
    <comment ref="D19" authorId="0" shapeId="0">
      <text>
        <t>Source: internal/financial-data/full-filing.md contract liabilities table.</t>
      </text>
    </comment>
    <comment ref="B20" authorId="0" shapeId="0">
      <text>
        <t>Source: financials.normalized.json / SEC XBRL.</t>
      </text>
    </comment>
    <comment ref="C20" authorId="0" shapeId="0">
      <text>
        <t>Source: financials.normalized.json / SEC XBRL.</t>
      </text>
    </comment>
    <comment ref="D20" authorId="0" shapeId="0">
      <text>
        <t>Source: financials.normalized.json / SEC XBRL.</t>
      </text>
    </comment>
    <comment ref="B22" authorId="0" shapeId="0">
      <text>
        <t>Source: financials.normalized.json / SEC XBRL.</t>
      </text>
    </comment>
    <comment ref="C22" authorId="0" shapeId="0">
      <text>
        <t>Source: financials.normalized.json / SEC XBRL.</t>
      </text>
    </comment>
    <comment ref="D22" authorId="0" shapeId="0">
      <text>
        <t>Source: financials.normalized.json / SEC XBRL.</t>
      </text>
    </comment>
    <comment ref="B23" authorId="0" shapeId="0">
      <text>
        <t>Source: financials.normalized.json / SEC XBRL.</t>
      </text>
    </comment>
    <comment ref="C23" authorId="0" shapeId="0">
      <text>
        <t>Source: financials.normalized.json / SEC XBRL.</t>
      </text>
    </comment>
    <comment ref="D23" authorId="0" shapeId="0">
      <text>
        <t>Source: financials.normalized.json / SEC XBRL.</t>
      </text>
    </comment>
    <comment ref="B24" authorId="0" shapeId="0">
      <text>
        <t>Source: financials.normalized.json / SEC XBRL.</t>
      </text>
    </comment>
    <comment ref="C24" authorId="0" shapeId="0">
      <text>
        <t>Source: financials.normalized.json / SEC XBRL.</t>
      </text>
    </comment>
    <comment ref="D24" authorId="0" shapeId="0">
      <text>
        <t>Source: financials.normalized.json / SEC XBRL.</t>
      </text>
    </comment>
    <comment ref="B26" authorId="0" shapeId="0">
      <text>
        <t>Source: financials.normalized.json / SEC XBRL.</t>
      </text>
    </comment>
    <comment ref="C26" authorId="0" shapeId="0">
      <text>
        <t>Source: financials.normalized.json / SEC XBRL.</t>
      </text>
    </comment>
    <comment ref="D26" authorId="0" shapeId="0">
      <text>
        <t>Source: financials.normalized.json / SEC XBRL.</t>
      </text>
    </comment>
    <comment ref="B27" authorId="0" shapeId="0">
      <text>
        <t>Source: financials.normalized.json / SEC XBRL.</t>
      </text>
    </comment>
    <comment ref="C27" authorId="0" shapeId="0">
      <text>
        <t>Source: financials.normalized.json / SEC XBRL.</t>
      </text>
    </comment>
    <comment ref="D27" authorId="0" shapeId="0">
      <text>
        <t>Source: financials.normalized.json / SEC XBRL.</t>
      </text>
    </comment>
  </commentList>
</comments>
</file>

<file path=xl/comments/comment5.xml><?xml version="1.0" encoding="utf-8"?>
<comments xmlns="http://schemas.openxmlformats.org/spreadsheetml/2006/main">
  <authors>
    <author>financial-data</author>
  </authors>
  <commentList>
    <comment ref="B5" authorId="0" shapeId="0">
      <text>
        <t>Source: financials.normalized.json / SEC XBRL.</t>
      </text>
    </comment>
    <comment ref="C5" authorId="0" shapeId="0">
      <text>
        <t>Source: financials.normalized.json / SEC XBRL.</t>
      </text>
    </comment>
    <comment ref="D5" authorId="0" shapeId="0">
      <text>
        <t>Source: financials.normalized.json / SEC XBRL.</t>
      </text>
    </comment>
    <comment ref="B6" authorId="0" shapeId="0">
      <text>
        <t>Source: financials.normalized.json / SEC XBRL.</t>
      </text>
    </comment>
    <comment ref="C6" authorId="0" shapeId="0">
      <text>
        <t>Source: financials.normalized.json / SEC XBRL.</t>
      </text>
    </comment>
    <comment ref="D6" authorId="0" shapeId="0">
      <text>
        <t>Source: financials.normalized.json / SEC XBRL.</t>
      </text>
    </comment>
    <comment ref="B7" authorId="0" shapeId="0">
      <text>
        <t>Source: financials.normalized.json / SEC XBRL.</t>
      </text>
    </comment>
    <comment ref="C7" authorId="0" shapeId="0">
      <text>
        <t>Source: financials.normalized.json / SEC XBRL.</t>
      </text>
    </comment>
    <comment ref="D7" authorId="0" shapeId="0">
      <text>
        <t>Source: financials.normalized.json / SEC XBRL.</t>
      </text>
    </comment>
    <comment ref="B9" authorId="0" shapeId="0">
      <text>
        <t>Source: financials.normalized.json / SEC XBRL.</t>
      </text>
    </comment>
    <comment ref="C9" authorId="0" shapeId="0">
      <text>
        <t>Source: financials.normalized.json / SEC XBRL.</t>
      </text>
    </comment>
    <comment ref="D9" authorId="0" shapeId="0">
      <text>
        <t>Source: financials.normalized.json / SEC XBRL.</t>
      </text>
    </comment>
    <comment ref="B11" authorId="0" shapeId="0">
      <text>
        <t>Source: financials.normalized.json / SEC XBRL.</t>
      </text>
    </comment>
    <comment ref="C11" authorId="0" shapeId="0">
      <text>
        <t>Source: financials.normalized.json / SEC XBRL.</t>
      </text>
    </comment>
    <comment ref="D11" authorId="0" shapeId="0">
      <text>
        <t>Source: financials.normalized.json / SEC XBRL.</t>
      </text>
    </comment>
    <comment ref="B12" authorId="0" shapeId="0">
      <text>
        <t>Source: financials.normalized.json / SEC XBRL.</t>
      </text>
    </comment>
    <comment ref="C12" authorId="0" shapeId="0">
      <text>
        <t>Source: financials.normalized.json / SEC XBRL.</t>
      </text>
    </comment>
    <comment ref="D12" authorId="0" shapeId="0">
      <text>
        <t>Source: financials.normalized.json / SEC XBRL.</t>
      </text>
    </comment>
    <comment ref="B13" authorId="0" shapeId="0">
      <text>
        <t>Source: financials.normalized.json / SEC XBRL.</t>
      </text>
    </comment>
    <comment ref="C13" authorId="0" shapeId="0">
      <text>
        <t>Source: financials.normalized.json / SEC XBRL.</t>
      </text>
    </comment>
    <comment ref="D13" authorId="0" shapeId="0">
      <text>
        <t>Source: financials.normalized.json / SEC XBRL.</t>
      </text>
    </comment>
    <comment ref="B16" authorId="0" shapeId="0">
      <text>
        <t>Source: financials.normalized.json / SEC XBRL.</t>
      </text>
    </comment>
    <comment ref="C16" authorId="0" shapeId="0">
      <text>
        <t>Source: financials.normalized.json / SEC XBRL.</t>
      </text>
    </comment>
    <comment ref="D16" authorId="0" shapeId="0">
      <text>
        <t>Source: financials.normalized.json / SEC XBRL.</t>
      </text>
    </comment>
    <comment ref="B19" authorId="0" shapeId="0">
      <text>
        <t>Source: financials.normalized.json / SEC XBRL.</t>
      </text>
    </comment>
    <comment ref="C19" authorId="0" shapeId="0">
      <text>
        <t>Source: financials.normalized.json / SEC XBRL.</t>
      </text>
    </comment>
    <comment ref="D19" authorId="0" shapeId="0">
      <text>
        <t>Source: financials.normalized.json / SEC XBRL.</t>
      </text>
    </comment>
    <comment ref="B20" authorId="0" shapeId="0">
      <text>
        <t>Source: financials.normalized.json / SEC XBRL.</t>
      </text>
    </comment>
    <comment ref="C20" authorId="0" shapeId="0">
      <text>
        <t>Source: financials.normalized.json / SEC XBRL.</t>
      </text>
    </comment>
    <comment ref="D20" authorId="0" shapeId="0">
      <text>
        <t>Source: financials.normalized.json / SEC XBRL.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RKLB 3-Statement + DCF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Company</t>
        </is>
      </c>
      <c r="B4" s="2" t="inlineStr">
        <is>
          <t>Rocket Lab Corp</t>
        </is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Ticker</t>
        </is>
      </c>
      <c r="B5" s="2" t="inlineStr">
        <is>
          <t>RKLB</t>
        </is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Model output</t>
        </is>
      </c>
      <c r="B6" s="2" t="inlineStr">
        <is>
          <t>C:\Users\M\Desktop\buy-side-research-skills-1.1.0\examples\financial-data-pull\us\rklb\rklb-3statement-dcf-model.xlsx</t>
        </is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Source pack</t>
        </is>
      </c>
      <c r="B7" s="2" t="inlineStr">
        <is>
          <t>C:\Users\M\Desktop\buy-side-research-skills-1.1.0\examples\financial-data-pull\us\rklb</t>
        </is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Primary filing</t>
        </is>
      </c>
      <c r="B8" s="2" t="inlineStr">
        <is>
          <t>FY2025 10-K, filed 2026-02-26, accession 0001819994-26-000013</t>
        </is>
      </c>
      <c r="C8" s="2" t="n"/>
      <c r="D8" s="2" t="n"/>
      <c r="E8" s="2" t="n"/>
      <c r="F8" s="2" t="n"/>
      <c r="G8" s="2" t="n"/>
      <c r="H8" s="2" t="n"/>
    </row>
    <row r="9">
      <c r="A9" s="3" t="inlineStr">
        <is>
          <t>Historical actuals</t>
        </is>
      </c>
      <c r="B9" s="2" t="inlineStr">
        <is>
          <t>FY2023-FY2025 from financial-data / SEC XBRL</t>
        </is>
      </c>
      <c r="C9" s="2" t="n"/>
      <c r="D9" s="2" t="n"/>
      <c r="E9" s="2" t="n"/>
      <c r="F9" s="2" t="n"/>
      <c r="G9" s="2" t="n"/>
      <c r="H9" s="2" t="n"/>
    </row>
    <row r="10">
      <c r="A10" s="3" t="inlineStr">
        <is>
          <t>Forecast horizon</t>
        </is>
      </c>
      <c r="B10" s="2" t="inlineStr">
        <is>
          <t>FY2026E-FY2030E</t>
        </is>
      </c>
      <c r="C10" s="2" t="n"/>
      <c r="D10" s="2" t="n"/>
      <c r="E10" s="2" t="n"/>
      <c r="F10" s="2" t="n"/>
      <c r="G10" s="2" t="n"/>
      <c r="H10" s="2" t="n"/>
    </row>
    <row r="11">
      <c r="A11" s="3" t="inlineStr">
        <is>
          <t>Revenue build</t>
        </is>
      </c>
      <c r="B11" s="2" t="inlineStr">
        <is>
          <t>Launch Services + Space Systems Products + Space Systems Services</t>
        </is>
      </c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Key modeling caveat</t>
        </is>
      </c>
      <c r="B12" s="2" t="inlineStr">
        <is>
          <t>Backlog is disclosed only at company level; do not allocate by segment without new source.</t>
        </is>
      </c>
      <c r="C12" s="2" t="n"/>
      <c r="D12" s="2" t="n"/>
      <c r="E12" s="2" t="n"/>
      <c r="F12" s="2" t="n"/>
      <c r="G12" s="2" t="n"/>
      <c r="H12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Sources and Model Caveats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financial-data-summary.md</t>
        </is>
      </c>
      <c r="B4" s="2" t="inlineStr">
        <is>
          <t>Public financial-data summary for human/LLM review.</t>
        </is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internal/financial-data/actuals-resolved.json</t>
        </is>
      </c>
      <c r="B5" s="2" t="inlineStr">
        <is>
          <t>Machine historical actuals; missing/unmapped policy says leave blank and flag review.</t>
        </is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internal/financial-data/evidence-pack.json</t>
        </is>
      </c>
      <c r="B6" s="2" t="inlineStr">
        <is>
          <t>Completeness, source-map, cross-check and latest run pointer.</t>
        </is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internal/financial-data/full-filing.md</t>
        </is>
      </c>
      <c r="B7" s="2" t="inlineStr">
        <is>
          <t>Internal FY2025 10-K text retained for audit/deeper lookup.</t>
        </is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driver-map.md</t>
        </is>
      </c>
      <c r="B8" s="2" t="inlineStr">
        <is>
          <t>Public driver-map summary for revenue split and modeling treatment.</t>
        </is>
      </c>
      <c r="C8" s="2" t="n"/>
      <c r="D8" s="2" t="n"/>
      <c r="E8" s="2" t="n"/>
      <c r="F8" s="2" t="n"/>
      <c r="G8" s="2" t="n"/>
      <c r="H8" s="2" t="n"/>
    </row>
    <row r="9">
      <c r="A9" s="3" t="inlineStr">
        <is>
          <t>internal/driver-map/driver-map.json</t>
        </is>
      </c>
      <c r="B9" s="2" t="inlineStr">
        <is>
          <t>Machine driver-map input for revenue build assumptions.</t>
        </is>
      </c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Critical Caveats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3" t="inlineStr">
        <is>
          <t>Caveat 1</t>
        </is>
      </c>
      <c r="B13" s="2" t="inlineStr">
        <is>
          <t>Launch cadence and ASP are not in the financial-data pack; they need a sourced launch manifest before being model-ready.</t>
        </is>
      </c>
      <c r="C13" s="2" t="n"/>
      <c r="D13" s="2" t="n"/>
      <c r="E13" s="2" t="n"/>
      <c r="F13" s="2" t="n"/>
      <c r="G13" s="2" t="n"/>
      <c r="H13" s="2" t="n"/>
    </row>
    <row r="14">
      <c r="A14" s="3" t="inlineStr">
        <is>
          <t>Caveat 2</t>
        </is>
      </c>
      <c r="B14" s="2" t="inlineStr">
        <is>
          <t>Neutron is modeled as scenario optionality, not historical run-rate.</t>
        </is>
      </c>
      <c r="C14" s="2" t="n"/>
      <c r="D14" s="2" t="n"/>
      <c r="E14" s="2" t="n"/>
      <c r="F14" s="2" t="n"/>
      <c r="G14" s="2" t="n"/>
      <c r="H14" s="2" t="n"/>
    </row>
    <row r="15">
      <c r="A15" s="3" t="inlineStr">
        <is>
          <t>Caveat 3</t>
        </is>
      </c>
      <c r="B15" s="2" t="inlineStr">
        <is>
          <t>Company backlog was $1.847bn at FY2025, but no segment split is disclosed.</t>
        </is>
      </c>
      <c r="C15" s="2" t="n"/>
      <c r="D15" s="2" t="n"/>
      <c r="E15" s="2" t="n"/>
      <c r="F15" s="2" t="n"/>
      <c r="G15" s="2" t="n"/>
      <c r="H15" s="2" t="n"/>
    </row>
    <row r="16">
      <c r="A16" s="3" t="inlineStr">
        <is>
          <t>Caveat 4</t>
        </is>
      </c>
      <c r="B16" s="2" t="inlineStr">
        <is>
          <t>Forecast assumptions are illustrative and editable blue inputs, not management guidance.</t>
        </is>
      </c>
      <c r="C16" s="2" t="n"/>
      <c r="D16" s="2" t="n"/>
      <c r="E16" s="2" t="n"/>
      <c r="F16" s="2" t="n"/>
      <c r="G16" s="2" t="n"/>
      <c r="H16" s="2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Forecast and Valuation Assumptions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5" t="inlineStr">
        <is>
          <t>$ in millions, except per-share data</t>
        </is>
      </c>
      <c r="B3" s="6" t="inlineStr">
        <is>
          <t>FY2023A</t>
        </is>
      </c>
      <c r="C3" s="6" t="inlineStr">
        <is>
          <t>FY2024A</t>
        </is>
      </c>
      <c r="D3" s="6" t="inlineStr">
        <is>
          <t>FY2025A</t>
        </is>
      </c>
      <c r="E3" s="6" t="inlineStr">
        <is>
          <t>FY2026E</t>
        </is>
      </c>
      <c r="F3" s="6" t="inlineStr">
        <is>
          <t>FY2027E</t>
        </is>
      </c>
      <c r="G3" s="6" t="inlineStr">
        <is>
          <t>FY2028E</t>
        </is>
      </c>
      <c r="H3" s="6" t="inlineStr">
        <is>
          <t>FY2029E</t>
        </is>
      </c>
      <c r="I3" s="6" t="inlineStr">
        <is>
          <t>FY2030E</t>
        </is>
      </c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Operating Assumptions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2" t="inlineStr">
        <is>
          <t>Launch revenue growth</t>
        </is>
      </c>
      <c r="B6" s="2" t="n"/>
      <c r="C6" s="2" t="n"/>
      <c r="D6" s="2" t="n"/>
      <c r="E6" s="7" t="n">
        <v>0.3</v>
      </c>
      <c r="F6" s="7" t="n">
        <v>0.25</v>
      </c>
      <c r="G6" s="7" t="n">
        <v>0.22</v>
      </c>
      <c r="H6" s="7" t="n">
        <v>0.18</v>
      </c>
      <c r="I6" s="7" t="n">
        <v>0.15</v>
      </c>
      <c r="J6" s="2" t="n"/>
    </row>
    <row r="7">
      <c r="A7" s="2" t="inlineStr">
        <is>
          <t>Space Systems products growth</t>
        </is>
      </c>
      <c r="B7" s="2" t="n"/>
      <c r="C7" s="2" t="n"/>
      <c r="D7" s="2" t="n"/>
      <c r="E7" s="7" t="n">
        <v>0.25</v>
      </c>
      <c r="F7" s="7" t="n">
        <v>0.22</v>
      </c>
      <c r="G7" s="7" t="n">
        <v>0.2</v>
      </c>
      <c r="H7" s="7" t="n">
        <v>0.18</v>
      </c>
      <c r="I7" s="7" t="n">
        <v>0.16</v>
      </c>
      <c r="J7" s="2" t="n"/>
    </row>
    <row r="8">
      <c r="A8" s="2" t="inlineStr">
        <is>
          <t>Space Systems services growth</t>
        </is>
      </c>
      <c r="B8" s="2" t="n"/>
      <c r="C8" s="2" t="n"/>
      <c r="D8" s="2" t="n"/>
      <c r="E8" s="7" t="n">
        <v>0.28</v>
      </c>
      <c r="F8" s="7" t="n">
        <v>0.25</v>
      </c>
      <c r="G8" s="7" t="n">
        <v>0.22</v>
      </c>
      <c r="H8" s="7" t="n">
        <v>0.2</v>
      </c>
      <c r="I8" s="7" t="n">
        <v>0.18</v>
      </c>
      <c r="J8" s="2" t="n"/>
    </row>
    <row r="9">
      <c r="A9" s="2" t="inlineStr">
        <is>
          <t>Launch gross margin</t>
        </is>
      </c>
      <c r="B9" s="2" t="n"/>
      <c r="C9" s="2" t="n"/>
      <c r="D9" s="2" t="n"/>
      <c r="E9" s="7" t="n">
        <v>0.42</v>
      </c>
      <c r="F9" s="7" t="n">
        <v>0.43</v>
      </c>
      <c r="G9" s="7" t="n">
        <v>0.44</v>
      </c>
      <c r="H9" s="7" t="n">
        <v>0.45</v>
      </c>
      <c r="I9" s="7" t="n">
        <v>0.46</v>
      </c>
      <c r="J9" s="2" t="n"/>
    </row>
    <row r="10">
      <c r="A10" s="2" t="inlineStr">
        <is>
          <t>Space Systems products gross margin</t>
        </is>
      </c>
      <c r="B10" s="2" t="n"/>
      <c r="C10" s="2" t="n"/>
      <c r="D10" s="2" t="n"/>
      <c r="E10" s="7" t="n">
        <v>0.32</v>
      </c>
      <c r="F10" s="7" t="n">
        <v>0.33</v>
      </c>
      <c r="G10" s="7" t="n">
        <v>0.34</v>
      </c>
      <c r="H10" s="7" t="n">
        <v>0.35</v>
      </c>
      <c r="I10" s="7" t="n">
        <v>0.36</v>
      </c>
      <c r="J10" s="2" t="n"/>
    </row>
    <row r="11">
      <c r="A11" s="2" t="inlineStr">
        <is>
          <t>Space Systems services gross margin</t>
        </is>
      </c>
      <c r="B11" s="2" t="n"/>
      <c r="C11" s="2" t="n"/>
      <c r="D11" s="2" t="n"/>
      <c r="E11" s="7" t="n">
        <v>0.23</v>
      </c>
      <c r="F11" s="7" t="n">
        <v>0.24</v>
      </c>
      <c r="G11" s="7" t="n">
        <v>0.25</v>
      </c>
      <c r="H11" s="7" t="n">
        <v>0.26</v>
      </c>
      <c r="I11" s="7" t="n">
        <v>0.27</v>
      </c>
      <c r="J11" s="2" t="n"/>
    </row>
    <row r="12">
      <c r="A12" s="2" t="inlineStr">
        <is>
          <t>R&amp;D % revenue</t>
        </is>
      </c>
      <c r="B12" s="2" t="n"/>
      <c r="C12" s="2" t="n"/>
      <c r="D12" s="2" t="n"/>
      <c r="E12" s="7" t="n">
        <v>0.42</v>
      </c>
      <c r="F12" s="7" t="n">
        <v>0.38</v>
      </c>
      <c r="G12" s="7" t="n">
        <v>0.34</v>
      </c>
      <c r="H12" s="7" t="n">
        <v>0.3</v>
      </c>
      <c r="I12" s="7" t="n">
        <v>0.27</v>
      </c>
      <c r="J12" s="2" t="n"/>
    </row>
    <row r="13">
      <c r="A13" s="2" t="inlineStr">
        <is>
          <t>SG&amp;A % revenue</t>
        </is>
      </c>
      <c r="B13" s="2" t="n"/>
      <c r="C13" s="2" t="n"/>
      <c r="D13" s="2" t="n"/>
      <c r="E13" s="7" t="n">
        <v>0.24</v>
      </c>
      <c r="F13" s="7" t="n">
        <v>0.22</v>
      </c>
      <c r="G13" s="7" t="n">
        <v>0.2</v>
      </c>
      <c r="H13" s="7" t="n">
        <v>0.18</v>
      </c>
      <c r="I13" s="7" t="n">
        <v>0.16</v>
      </c>
      <c r="J13" s="2" t="n"/>
    </row>
    <row r="14">
      <c r="A14" s="2" t="inlineStr">
        <is>
          <t>D&amp;A % revenue</t>
        </is>
      </c>
      <c r="B14" s="2" t="n"/>
      <c r="C14" s="2" t="n"/>
      <c r="D14" s="2" t="n"/>
      <c r="E14" s="7" t="n">
        <v>0.07000000000000001</v>
      </c>
      <c r="F14" s="7" t="n">
        <v>0.065</v>
      </c>
      <c r="G14" s="7" t="n">
        <v>0.06</v>
      </c>
      <c r="H14" s="7" t="n">
        <v>0.055</v>
      </c>
      <c r="I14" s="7" t="n">
        <v>0.05</v>
      </c>
      <c r="J14" s="2" t="n"/>
    </row>
    <row r="15">
      <c r="A15" s="2" t="inlineStr">
        <is>
          <t>SBC % revenue</t>
        </is>
      </c>
      <c r="B15" s="2" t="n"/>
      <c r="C15" s="2" t="n"/>
      <c r="D15" s="2" t="n"/>
      <c r="E15" s="7" t="n">
        <v>0.1</v>
      </c>
      <c r="F15" s="7" t="n">
        <v>0.09</v>
      </c>
      <c r="G15" s="7" t="n">
        <v>0.08</v>
      </c>
      <c r="H15" s="7" t="n">
        <v>0.07000000000000001</v>
      </c>
      <c r="I15" s="7" t="n">
        <v>0.06</v>
      </c>
      <c r="J15" s="2" t="n"/>
    </row>
    <row r="16">
      <c r="A16" s="2" t="inlineStr">
        <is>
          <t>CapEx % revenue</t>
        </is>
      </c>
      <c r="B16" s="2" t="n"/>
      <c r="C16" s="2" t="n"/>
      <c r="D16" s="2" t="n"/>
      <c r="E16" s="7" t="n">
        <v>0.16</v>
      </c>
      <c r="F16" s="7" t="n">
        <v>0.14</v>
      </c>
      <c r="G16" s="7" t="n">
        <v>0.12</v>
      </c>
      <c r="H16" s="7" t="n">
        <v>0.1</v>
      </c>
      <c r="I16" s="7" t="n">
        <v>0.08</v>
      </c>
      <c r="J16" s="2" t="n"/>
    </row>
    <row r="17">
      <c r="A17" s="2" t="inlineStr">
        <is>
          <t>AR % revenue</t>
        </is>
      </c>
      <c r="B17" s="2" t="n"/>
      <c r="C17" s="2" t="n"/>
      <c r="D17" s="2" t="n"/>
      <c r="E17" s="7" t="n">
        <v>0.065</v>
      </c>
      <c r="F17" s="7" t="n">
        <v>0.064</v>
      </c>
      <c r="G17" s="7" t="n">
        <v>0.063</v>
      </c>
      <c r="H17" s="7" t="n">
        <v>0.062</v>
      </c>
      <c r="I17" s="7" t="n">
        <v>0.061</v>
      </c>
      <c r="J17" s="2" t="n"/>
    </row>
    <row r="18">
      <c r="A18" s="2" t="inlineStr">
        <is>
          <t>Inventory % revenue</t>
        </is>
      </c>
      <c r="B18" s="2" t="n"/>
      <c r="C18" s="2" t="n"/>
      <c r="D18" s="2" t="n"/>
      <c r="E18" s="7" t="n">
        <v>0.25</v>
      </c>
      <c r="F18" s="7" t="n">
        <v>0.24</v>
      </c>
      <c r="G18" s="7" t="n">
        <v>0.23</v>
      </c>
      <c r="H18" s="7" t="n">
        <v>0.22</v>
      </c>
      <c r="I18" s="7" t="n">
        <v>0.21</v>
      </c>
      <c r="J18" s="2" t="n"/>
    </row>
    <row r="19">
      <c r="A19" s="2" t="inlineStr">
        <is>
          <t>Other current assets % revenue</t>
        </is>
      </c>
      <c r="B19" s="2" t="n"/>
      <c r="C19" s="2" t="n"/>
      <c r="D19" s="2" t="n"/>
      <c r="E19" s="7" t="n">
        <v>0.14</v>
      </c>
      <c r="F19" s="7" t="n">
        <v>0.13</v>
      </c>
      <c r="G19" s="7" t="n">
        <v>0.12</v>
      </c>
      <c r="H19" s="7" t="n">
        <v>0.11</v>
      </c>
      <c r="I19" s="7" t="n">
        <v>0.1</v>
      </c>
      <c r="J19" s="2" t="n"/>
    </row>
    <row r="20">
      <c r="A20" s="2" t="inlineStr">
        <is>
          <t>AP % revenue</t>
        </is>
      </c>
      <c r="B20" s="2" t="n"/>
      <c r="C20" s="2" t="n"/>
      <c r="D20" s="2" t="n"/>
      <c r="E20" s="7" t="n">
        <v>0.12</v>
      </c>
      <c r="F20" s="7" t="n">
        <v>0.115</v>
      </c>
      <c r="G20" s="7" t="n">
        <v>0.11</v>
      </c>
      <c r="H20" s="7" t="n">
        <v>0.105</v>
      </c>
      <c r="I20" s="7" t="n">
        <v>0.1</v>
      </c>
      <c r="J20" s="2" t="n"/>
    </row>
    <row r="21">
      <c r="A21" s="2" t="inlineStr">
        <is>
          <t>Accrued liabilities % revenue</t>
        </is>
      </c>
      <c r="B21" s="2" t="n"/>
      <c r="C21" s="2" t="n"/>
      <c r="D21" s="2" t="n"/>
      <c r="E21" s="7" t="n">
        <v>0.032</v>
      </c>
      <c r="F21" s="7" t="n">
        <v>0.031</v>
      </c>
      <c r="G21" s="7" t="n">
        <v>0.03</v>
      </c>
      <c r="H21" s="7" t="n">
        <v>0.029</v>
      </c>
      <c r="I21" s="7" t="n">
        <v>0.028</v>
      </c>
      <c r="J21" s="2" t="n"/>
    </row>
    <row r="22">
      <c r="A22" s="2" t="inlineStr">
        <is>
          <t>Contract liabilities % revenue</t>
        </is>
      </c>
      <c r="B22" s="2" t="n"/>
      <c r="C22" s="2" t="n"/>
      <c r="D22" s="2" t="n"/>
      <c r="E22" s="7" t="n">
        <v>0.3</v>
      </c>
      <c r="F22" s="7" t="n">
        <v>0.29</v>
      </c>
      <c r="G22" s="7" t="n">
        <v>0.28</v>
      </c>
      <c r="H22" s="7" t="n">
        <v>0.27</v>
      </c>
      <c r="I22" s="7" t="n">
        <v>0.26</v>
      </c>
      <c r="J22" s="2" t="n"/>
    </row>
    <row r="23">
      <c r="A23" s="2" t="inlineStr">
        <is>
          <t>Tax rate</t>
        </is>
      </c>
      <c r="B23" s="2" t="n"/>
      <c r="C23" s="2" t="n"/>
      <c r="D23" s="2" t="n"/>
      <c r="E23" s="7" t="n">
        <v>0.21</v>
      </c>
      <c r="F23" s="7" t="n">
        <v>0.21</v>
      </c>
      <c r="G23" s="7" t="n">
        <v>0.21</v>
      </c>
      <c r="H23" s="7" t="n">
        <v>0.21</v>
      </c>
      <c r="I23" s="7" t="n">
        <v>0.21</v>
      </c>
      <c r="J23" s="2" t="n"/>
    </row>
    <row r="24">
      <c r="A24" s="2" t="inlineStr">
        <is>
          <t>Interest rate on debt</t>
        </is>
      </c>
      <c r="B24" s="2" t="n"/>
      <c r="C24" s="2" t="n"/>
      <c r="D24" s="2" t="n"/>
      <c r="E24" s="7" t="n">
        <v>0.08</v>
      </c>
      <c r="F24" s="7" t="n">
        <v>0.08</v>
      </c>
      <c r="G24" s="7" t="n">
        <v>0.08</v>
      </c>
      <c r="H24" s="7" t="n">
        <v>0.08</v>
      </c>
      <c r="I24" s="7" t="n">
        <v>0.08</v>
      </c>
      <c r="J24" s="2" t="n"/>
    </row>
    <row r="25">
      <c r="A25" s="2" t="inlineStr">
        <is>
          <t>Share dilution</t>
        </is>
      </c>
      <c r="B25" s="2" t="n"/>
      <c r="C25" s="2" t="n"/>
      <c r="D25" s="2" t="n"/>
      <c r="E25" s="7" t="n">
        <v>0.03</v>
      </c>
      <c r="F25" s="7" t="n">
        <v>0.03</v>
      </c>
      <c r="G25" s="7" t="n">
        <v>0.03</v>
      </c>
      <c r="H25" s="7" t="n">
        <v>0.03</v>
      </c>
      <c r="I25" s="7" t="n">
        <v>0.03</v>
      </c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4" t="inlineStr">
        <is>
          <t>DCF Assumptions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2" t="inlineStr">
        <is>
          <t>WACC</t>
        </is>
      </c>
      <c r="B30" s="7" t="n">
        <v>0.11</v>
      </c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inlineStr">
        <is>
          <t>Terminal growth</t>
        </is>
      </c>
      <c r="B31" s="7" t="n">
        <v>0.035</v>
      </c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inlineStr">
        <is>
          <t>Current diluted shares (m)</t>
        </is>
      </c>
      <c r="B32" s="8" t="n">
        <v>578.75099</v>
      </c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inlineStr">
        <is>
          <t>Current cash (m)</t>
        </is>
      </c>
      <c r="B33" s="8" t="n">
        <v>828.66</v>
      </c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inlineStr">
        <is>
          <t>Current debt (m)</t>
        </is>
      </c>
      <c r="B34" s="8" t="n">
        <v>152.395</v>
      </c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inlineStr">
        <is>
          <t>Current share price</t>
        </is>
      </c>
      <c r="B35" s="8" t="n"/>
      <c r="C35" s="2" t="n"/>
      <c r="D35" s="2" t="n"/>
      <c r="E35" s="2" t="n"/>
      <c r="F35" s="2" t="n"/>
      <c r="G35" s="2" t="n"/>
      <c r="H35" s="2" t="n"/>
      <c r="I35" s="2" t="n"/>
      <c r="J35" s="2" t="n"/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Revenue Build by Driver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5" t="inlineStr">
        <is>
          <t>$ in millions, except per-share data</t>
        </is>
      </c>
      <c r="B3" s="6" t="inlineStr">
        <is>
          <t>FY2023A</t>
        </is>
      </c>
      <c r="C3" s="6" t="inlineStr">
        <is>
          <t>FY2024A</t>
        </is>
      </c>
      <c r="D3" s="6" t="inlineStr">
        <is>
          <t>FY2025A</t>
        </is>
      </c>
      <c r="E3" s="6" t="inlineStr">
        <is>
          <t>FY2026E</t>
        </is>
      </c>
      <c r="F3" s="6" t="inlineStr">
        <is>
          <t>FY2027E</t>
        </is>
      </c>
      <c r="G3" s="6" t="inlineStr">
        <is>
          <t>FY2028E</t>
        </is>
      </c>
      <c r="H3" s="6" t="inlineStr">
        <is>
          <t>FY2029E</t>
        </is>
      </c>
      <c r="I3" s="6" t="inlineStr">
        <is>
          <t>FY2030E</t>
        </is>
      </c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Launch Services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2" t="inlineStr">
        <is>
          <t>Revenue</t>
        </is>
      </c>
      <c r="B6" s="8" t="n">
        <v>71.89400000000001</v>
      </c>
      <c r="C6" s="8" t="n">
        <v>125.376</v>
      </c>
      <c r="D6" s="8" t="n">
        <v>199.042</v>
      </c>
      <c r="E6" s="9">
        <f>D6*(1+Assumptions!E6)</f>
        <v/>
      </c>
      <c r="F6" s="9">
        <f>E6*(1+Assumptions!F6)</f>
        <v/>
      </c>
      <c r="G6" s="9">
        <f>F6*(1+Assumptions!G6)</f>
        <v/>
      </c>
      <c r="H6" s="9">
        <f>G6*(1+Assumptions!H6)</f>
        <v/>
      </c>
      <c r="I6" s="9">
        <f>H6*(1+Assumptions!I6)</f>
        <v/>
      </c>
      <c r="J6" s="2" t="n"/>
    </row>
    <row r="7">
      <c r="A7" s="2" t="inlineStr">
        <is>
          <t>YoY Growth</t>
        </is>
      </c>
      <c r="B7" s="10" t="n"/>
      <c r="C7" s="11">
        <f>C6/B6-1</f>
        <v/>
      </c>
      <c r="D7" s="11">
        <f>D6/C6-1</f>
        <v/>
      </c>
      <c r="E7" s="11">
        <f>E6/D6-1</f>
        <v/>
      </c>
      <c r="F7" s="11">
        <f>F6/E6-1</f>
        <v/>
      </c>
      <c r="G7" s="11">
        <f>G6/F6-1</f>
        <v/>
      </c>
      <c r="H7" s="11">
        <f>H6/G6-1</f>
        <v/>
      </c>
      <c r="I7" s="11">
        <f>I6/H6-1</f>
        <v/>
      </c>
      <c r="J7" s="2" t="n"/>
    </row>
    <row r="8">
      <c r="A8" s="2" t="inlineStr">
        <is>
          <t>Gross Margin</t>
        </is>
      </c>
      <c r="B8" s="7" t="n">
        <v>0.112</v>
      </c>
      <c r="C8" s="7" t="n">
        <v>0.276</v>
      </c>
      <c r="D8" s="7" t="n">
        <v>0.408</v>
      </c>
      <c r="E8" s="11">
        <f>Assumptions!E9</f>
        <v/>
      </c>
      <c r="F8" s="11">
        <f>Assumptions!F9</f>
        <v/>
      </c>
      <c r="G8" s="11">
        <f>Assumptions!G9</f>
        <v/>
      </c>
      <c r="H8" s="11">
        <f>Assumptions!H9</f>
        <v/>
      </c>
      <c r="I8" s="11">
        <f>Assumptions!I9</f>
        <v/>
      </c>
      <c r="J8" s="2" t="n"/>
    </row>
    <row r="9">
      <c r="A9" s="2" t="inlineStr">
        <is>
          <t>Gross Profit</t>
        </is>
      </c>
      <c r="B9" s="8" t="n">
        <v>8.067</v>
      </c>
      <c r="C9" s="8" t="n">
        <v>34.59</v>
      </c>
      <c r="D9" s="8" t="n">
        <v>81.27</v>
      </c>
      <c r="E9" s="9">
        <f>E6*E8</f>
        <v/>
      </c>
      <c r="F9" s="9">
        <f>F6*F8</f>
        <v/>
      </c>
      <c r="G9" s="9">
        <f>G6*G8</f>
        <v/>
      </c>
      <c r="H9" s="9">
        <f>H6*H8</f>
        <v/>
      </c>
      <c r="I9" s="9">
        <f>I6*I8</f>
        <v/>
      </c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4" t="inlineStr">
        <is>
          <t>Space Systems Products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2" t="inlineStr">
        <is>
          <t>Revenue</t>
        </is>
      </c>
      <c r="B12" s="8" t="n">
        <v>156.56</v>
      </c>
      <c r="C12" s="8" t="n">
        <v>289.851</v>
      </c>
      <c r="D12" s="8" t="n">
        <v>371.617</v>
      </c>
      <c r="E12" s="9">
        <f>D12*(1+Assumptions!E7)</f>
        <v/>
      </c>
      <c r="F12" s="9">
        <f>E12*(1+Assumptions!F7)</f>
        <v/>
      </c>
      <c r="G12" s="9">
        <f>F12*(1+Assumptions!G7)</f>
        <v/>
      </c>
      <c r="H12" s="9">
        <f>G12*(1+Assumptions!H7)</f>
        <v/>
      </c>
      <c r="I12" s="9">
        <f>H12*(1+Assumptions!I7)</f>
        <v/>
      </c>
      <c r="J12" s="2" t="n"/>
    </row>
    <row r="13">
      <c r="A13" s="2" t="inlineStr">
        <is>
          <t>YoY Growth</t>
        </is>
      </c>
      <c r="B13" s="10" t="n"/>
      <c r="C13" s="11">
        <f>C12/B12-1</f>
        <v/>
      </c>
      <c r="D13" s="11">
        <f>D12/C12-1</f>
        <v/>
      </c>
      <c r="E13" s="11">
        <f>E12/D12-1</f>
        <v/>
      </c>
      <c r="F13" s="11">
        <f>F12/E12-1</f>
        <v/>
      </c>
      <c r="G13" s="11">
        <f>G12/F12-1</f>
        <v/>
      </c>
      <c r="H13" s="11">
        <f>H12/G12-1</f>
        <v/>
      </c>
      <c r="I13" s="11">
        <f>I12/H12-1</f>
        <v/>
      </c>
      <c r="J13" s="2" t="n"/>
    </row>
    <row r="14">
      <c r="A14" s="2" t="inlineStr">
        <is>
          <t>Gross Margin</t>
        </is>
      </c>
      <c r="B14" s="7" t="n">
        <v>0.263272866632601</v>
      </c>
      <c r="C14" s="7" t="n">
        <v>0.2622588847373306</v>
      </c>
      <c r="D14" s="7" t="n">
        <v>0.3196005564869207</v>
      </c>
      <c r="E14" s="11">
        <f>Assumptions!E10</f>
        <v/>
      </c>
      <c r="F14" s="11">
        <f>Assumptions!F10</f>
        <v/>
      </c>
      <c r="G14" s="11">
        <f>Assumptions!G10</f>
        <v/>
      </c>
      <c r="H14" s="11">
        <f>Assumptions!H10</f>
        <v/>
      </c>
      <c r="I14" s="11">
        <f>Assumptions!I10</f>
        <v/>
      </c>
      <c r="J14" s="2" t="n"/>
    </row>
    <row r="15">
      <c r="A15" s="2" t="inlineStr">
        <is>
          <t>Gross Profit</t>
        </is>
      </c>
      <c r="B15" s="8" t="n">
        <v>41.218</v>
      </c>
      <c r="C15" s="8" t="n">
        <v>76.01600000000001</v>
      </c>
      <c r="D15" s="8" t="n">
        <v>118.769</v>
      </c>
      <c r="E15" s="9">
        <f>E12*E14</f>
        <v/>
      </c>
      <c r="F15" s="9">
        <f>F12*F14</f>
        <v/>
      </c>
      <c r="G15" s="9">
        <f>G12*G14</f>
        <v/>
      </c>
      <c r="H15" s="9">
        <f>H12*H14</f>
        <v/>
      </c>
      <c r="I15" s="9">
        <f>I12*I14</f>
        <v/>
      </c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Space Systems Services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2" t="inlineStr">
        <is>
          <t>Revenue</t>
        </is>
      </c>
      <c r="B18" s="8" t="n">
        <v>16.138</v>
      </c>
      <c r="C18" s="8" t="n">
        <v>20.987</v>
      </c>
      <c r="D18" s="8" t="n">
        <v>31.14</v>
      </c>
      <c r="E18" s="9">
        <f>D18*(1+Assumptions!E8)</f>
        <v/>
      </c>
      <c r="F18" s="9">
        <f>E18*(1+Assumptions!F8)</f>
        <v/>
      </c>
      <c r="G18" s="9">
        <f>F18*(1+Assumptions!G8)</f>
        <v/>
      </c>
      <c r="H18" s="9">
        <f>G18*(1+Assumptions!H8)</f>
        <v/>
      </c>
      <c r="I18" s="9">
        <f>H18*(1+Assumptions!I8)</f>
        <v/>
      </c>
      <c r="J18" s="2" t="n"/>
    </row>
    <row r="19">
      <c r="A19" s="2" t="inlineStr">
        <is>
          <t>YoY Growth</t>
        </is>
      </c>
      <c r="B19" s="10" t="n"/>
      <c r="C19" s="11">
        <f>C18/B18-1</f>
        <v/>
      </c>
      <c r="D19" s="11">
        <f>D18/C18-1</f>
        <v/>
      </c>
      <c r="E19" s="11">
        <f>E18/D18-1</f>
        <v/>
      </c>
      <c r="F19" s="11">
        <f>F18/E18-1</f>
        <v/>
      </c>
      <c r="G19" s="11">
        <f>G18/F18-1</f>
        <v/>
      </c>
      <c r="H19" s="11">
        <f>H18/G18-1</f>
        <v/>
      </c>
      <c r="I19" s="11">
        <f>I18/H18-1</f>
        <v/>
      </c>
      <c r="J19" s="2" t="n"/>
    </row>
    <row r="20">
      <c r="A20" s="2" t="inlineStr">
        <is>
          <t>Gross Margin</t>
        </is>
      </c>
      <c r="B20" s="7" t="n">
        <v>0.1316148221588797</v>
      </c>
      <c r="C20" s="7" t="n">
        <v>0.2641158812598275</v>
      </c>
      <c r="D20" s="7" t="n">
        <v>0.2293513166345536</v>
      </c>
      <c r="E20" s="11">
        <f>Assumptions!E11</f>
        <v/>
      </c>
      <c r="F20" s="11">
        <f>Assumptions!F11</f>
        <v/>
      </c>
      <c r="G20" s="11">
        <f>Assumptions!G11</f>
        <v/>
      </c>
      <c r="H20" s="11">
        <f>Assumptions!H11</f>
        <v/>
      </c>
      <c r="I20" s="11">
        <f>Assumptions!I11</f>
        <v/>
      </c>
      <c r="J20" s="2" t="n"/>
    </row>
    <row r="21">
      <c r="A21" s="2" t="inlineStr">
        <is>
          <t>Gross Profit</t>
        </is>
      </c>
      <c r="B21" s="8" t="n">
        <v>2.124</v>
      </c>
      <c r="C21" s="8" t="n">
        <v>5.543</v>
      </c>
      <c r="D21" s="8" t="n">
        <v>7.142</v>
      </c>
      <c r="E21" s="9">
        <f>E18*E20</f>
        <v/>
      </c>
      <c r="F21" s="9">
        <f>F18*F20</f>
        <v/>
      </c>
      <c r="G21" s="9">
        <f>G18*G20</f>
        <v/>
      </c>
      <c r="H21" s="9">
        <f>H18*H20</f>
        <v/>
      </c>
      <c r="I21" s="9">
        <f>I18*I20</f>
        <v/>
      </c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4" t="inlineStr">
        <is>
          <t>Total Revenue and Gross Profit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2" t="inlineStr">
        <is>
          <t>Space Systems Revenue</t>
        </is>
      </c>
      <c r="B24" s="9">
        <f>B12+B18</f>
        <v/>
      </c>
      <c r="C24" s="9">
        <f>C12+C18</f>
        <v/>
      </c>
      <c r="D24" s="9">
        <f>D12+D18</f>
        <v/>
      </c>
      <c r="E24" s="9">
        <f>E12+E18</f>
        <v/>
      </c>
      <c r="F24" s="9">
        <f>F12+F18</f>
        <v/>
      </c>
      <c r="G24" s="9">
        <f>G12+G18</f>
        <v/>
      </c>
      <c r="H24" s="9">
        <f>H12+H18</f>
        <v/>
      </c>
      <c r="I24" s="9">
        <f>I12+I18</f>
        <v/>
      </c>
      <c r="J24" s="2" t="n"/>
    </row>
    <row r="25">
      <c r="A25" s="2" t="inlineStr">
        <is>
          <t>Total Revenue</t>
        </is>
      </c>
      <c r="B25" s="9">
        <f>B6+B24</f>
        <v/>
      </c>
      <c r="C25" s="9">
        <f>C6+C24</f>
        <v/>
      </c>
      <c r="D25" s="9">
        <f>D6+D24</f>
        <v/>
      </c>
      <c r="E25" s="9">
        <f>E6+E24</f>
        <v/>
      </c>
      <c r="F25" s="9">
        <f>F6+F24</f>
        <v/>
      </c>
      <c r="G25" s="9">
        <f>G6+G24</f>
        <v/>
      </c>
      <c r="H25" s="9">
        <f>H6+H24</f>
        <v/>
      </c>
      <c r="I25" s="9">
        <f>I6+I24</f>
        <v/>
      </c>
      <c r="J25" s="2" t="n"/>
    </row>
    <row r="26">
      <c r="A26" s="2" t="inlineStr">
        <is>
          <t>Total Revenue Growth</t>
        </is>
      </c>
      <c r="B26" s="11">
        <f>""</f>
        <v/>
      </c>
      <c r="C26" s="11">
        <f>IFERROR(C25/B25-1,"")</f>
        <v/>
      </c>
      <c r="D26" s="11">
        <f>IFERROR(D25/C25-1,"")</f>
        <v/>
      </c>
      <c r="E26" s="11">
        <f>IFERROR(E25/D25-1,"")</f>
        <v/>
      </c>
      <c r="F26" s="11">
        <f>IFERROR(F25/E25-1,"")</f>
        <v/>
      </c>
      <c r="G26" s="11">
        <f>IFERROR(G25/F25-1,"")</f>
        <v/>
      </c>
      <c r="H26" s="11">
        <f>IFERROR(H25/G25-1,"")</f>
        <v/>
      </c>
      <c r="I26" s="11">
        <f>IFERROR(I25/H25-1,"")</f>
        <v/>
      </c>
      <c r="J26" s="2" t="n"/>
    </row>
    <row r="27">
      <c r="A27" s="2" t="inlineStr">
        <is>
          <t>Total Gross Profit</t>
        </is>
      </c>
      <c r="B27" s="9">
        <f>B9+B15+B21</f>
        <v/>
      </c>
      <c r="C27" s="9">
        <f>C9+C15+C21</f>
        <v/>
      </c>
      <c r="D27" s="9">
        <f>D9+D15+D21</f>
        <v/>
      </c>
      <c r="E27" s="9">
        <f>E9+E15+E21</f>
        <v/>
      </c>
      <c r="F27" s="9">
        <f>F9+F15+F21</f>
        <v/>
      </c>
      <c r="G27" s="9">
        <f>G9+G15+G21</f>
        <v/>
      </c>
      <c r="H27" s="9">
        <f>H9+H15+H21</f>
        <v/>
      </c>
      <c r="I27" s="9">
        <f>I9+I15+I21</f>
        <v/>
      </c>
      <c r="J27" s="2" t="n"/>
    </row>
    <row r="28">
      <c r="A28" s="2" t="inlineStr">
        <is>
          <t>Gross Margin</t>
        </is>
      </c>
      <c r="B28" s="11">
        <f>B27/B25</f>
        <v/>
      </c>
      <c r="C28" s="11">
        <f>C27/C25</f>
        <v/>
      </c>
      <c r="D28" s="11">
        <f>D27/D25</f>
        <v/>
      </c>
      <c r="E28" s="11">
        <f>E27/E25</f>
        <v/>
      </c>
      <c r="F28" s="11">
        <f>F27/F25</f>
        <v/>
      </c>
      <c r="G28" s="11">
        <f>G27/G25</f>
        <v/>
      </c>
      <c r="H28" s="11">
        <f>H27/H25</f>
        <v/>
      </c>
      <c r="I28" s="11">
        <f>I27/I25</f>
        <v/>
      </c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4" t="inlineStr">
        <is>
          <t>Backlog Memo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2" t="inlineStr">
        <is>
          <t>Company backlog</t>
        </is>
      </c>
      <c r="B32" s="2" t="n"/>
      <c r="C32" s="2" t="n"/>
      <c r="D32" s="8" t="n">
        <v>1847.322</v>
      </c>
      <c r="E32" s="2" t="n"/>
      <c r="F32" s="2" t="n"/>
      <c r="G32" s="2" t="n"/>
      <c r="H32" s="2" t="n"/>
      <c r="I32" s="2" t="n"/>
      <c r="J32" s="2" t="n"/>
    </row>
    <row r="33">
      <c r="A33" s="2" t="inlineStr">
        <is>
          <t>% expected within 12 months</t>
        </is>
      </c>
      <c r="B33" s="2" t="n"/>
      <c r="C33" s="2" t="n"/>
      <c r="D33" s="7" t="n">
        <v>0.37</v>
      </c>
      <c r="E33" s="2" t="n"/>
      <c r="F33" s="2" t="n"/>
      <c r="G33" s="2" t="n"/>
      <c r="H33" s="2" t="n"/>
      <c r="I33" s="2" t="n"/>
      <c r="J33" s="2" t="n"/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Income Statement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5" t="inlineStr">
        <is>
          <t>$ in millions, except per-share data</t>
        </is>
      </c>
      <c r="B3" s="6" t="inlineStr">
        <is>
          <t>FY2023A</t>
        </is>
      </c>
      <c r="C3" s="6" t="inlineStr">
        <is>
          <t>FY2024A</t>
        </is>
      </c>
      <c r="D3" s="6" t="inlineStr">
        <is>
          <t>FY2025A</t>
        </is>
      </c>
      <c r="E3" s="6" t="inlineStr">
        <is>
          <t>FY2026E</t>
        </is>
      </c>
      <c r="F3" s="6" t="inlineStr">
        <is>
          <t>FY2027E</t>
        </is>
      </c>
      <c r="G3" s="6" t="inlineStr">
        <is>
          <t>FY2028E</t>
        </is>
      </c>
      <c r="H3" s="6" t="inlineStr">
        <is>
          <t>FY2029E</t>
        </is>
      </c>
      <c r="I3" s="6" t="inlineStr">
        <is>
          <t>FY2030E</t>
        </is>
      </c>
      <c r="J3" s="2" t="n"/>
    </row>
    <row r="4">
      <c r="A4" s="4" t="inlineStr">
        <is>
          <t>Income Statement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2" t="inlineStr">
        <is>
          <t>Revenue</t>
        </is>
      </c>
      <c r="B5" s="8" t="n">
        <v>244.592</v>
      </c>
      <c r="C5" s="8" t="n">
        <v>436.214</v>
      </c>
      <c r="D5" s="8" t="n">
        <v>601.799</v>
      </c>
      <c r="E5" s="9">
        <f>'Revenue Build'!E25</f>
        <v/>
      </c>
      <c r="F5" s="9">
        <f>'Revenue Build'!F25</f>
        <v/>
      </c>
      <c r="G5" s="9">
        <f>'Revenue Build'!G25</f>
        <v/>
      </c>
      <c r="H5" s="9">
        <f>'Revenue Build'!H25</f>
        <v/>
      </c>
      <c r="I5" s="9">
        <f>'Revenue Build'!I25</f>
        <v/>
      </c>
      <c r="J5" s="2" t="n"/>
    </row>
    <row r="6">
      <c r="A6" s="2" t="inlineStr">
        <is>
          <t>Revenue Growth</t>
        </is>
      </c>
      <c r="B6" s="11">
        <f>""</f>
        <v/>
      </c>
      <c r="C6" s="11">
        <f>IFERROR(C5/B5-1,"")</f>
        <v/>
      </c>
      <c r="D6" s="11">
        <f>IFERROR(D5/C5-1,"")</f>
        <v/>
      </c>
      <c r="E6" s="11">
        <f>E5/D5-1</f>
        <v/>
      </c>
      <c r="F6" s="11">
        <f>F5/E5-1</f>
        <v/>
      </c>
      <c r="G6" s="11">
        <f>G5/F5-1</f>
        <v/>
      </c>
      <c r="H6" s="11">
        <f>H5/G5-1</f>
        <v/>
      </c>
      <c r="I6" s="11">
        <f>I5/H5-1</f>
        <v/>
      </c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Cost of Revenue</t>
        </is>
      </c>
      <c r="B8" s="8" t="n">
        <v>193.183</v>
      </c>
      <c r="C8" s="8" t="n">
        <v>320.065</v>
      </c>
      <c r="D8" s="8" t="n">
        <v>394.618</v>
      </c>
      <c r="E8" s="9">
        <f>E5-E9</f>
        <v/>
      </c>
      <c r="F8" s="9">
        <f>F5-F9</f>
        <v/>
      </c>
      <c r="G8" s="9">
        <f>G5-G9</f>
        <v/>
      </c>
      <c r="H8" s="9">
        <f>H5-H9</f>
        <v/>
      </c>
      <c r="I8" s="9">
        <f>I5-I9</f>
        <v/>
      </c>
      <c r="J8" s="2" t="n"/>
    </row>
    <row r="9">
      <c r="A9" s="2" t="inlineStr">
        <is>
          <t>Gross Profit</t>
        </is>
      </c>
      <c r="B9" s="8" t="n">
        <v>51.409</v>
      </c>
      <c r="C9" s="8" t="n">
        <v>116.149</v>
      </c>
      <c r="D9" s="8" t="n">
        <v>207.181</v>
      </c>
      <c r="E9" s="9">
        <f>'Revenue Build'!E27</f>
        <v/>
      </c>
      <c r="F9" s="9">
        <f>'Revenue Build'!F27</f>
        <v/>
      </c>
      <c r="G9" s="9">
        <f>'Revenue Build'!G27</f>
        <v/>
      </c>
      <c r="H9" s="9">
        <f>'Revenue Build'!H27</f>
        <v/>
      </c>
      <c r="I9" s="9">
        <f>'Revenue Build'!I27</f>
        <v/>
      </c>
      <c r="J9" s="2" t="n"/>
    </row>
    <row r="10">
      <c r="A10" s="2" t="inlineStr">
        <is>
          <t>Gross Margin</t>
        </is>
      </c>
      <c r="B10" s="11">
        <f>B9/B5</f>
        <v/>
      </c>
      <c r="C10" s="11">
        <f>C9/C5</f>
        <v/>
      </c>
      <c r="D10" s="11">
        <f>D9/D5</f>
        <v/>
      </c>
      <c r="E10" s="11">
        <f>E9/E5</f>
        <v/>
      </c>
      <c r="F10" s="11">
        <f>F9/F5</f>
        <v/>
      </c>
      <c r="G10" s="11">
        <f>G9/G5</f>
        <v/>
      </c>
      <c r="H10" s="11">
        <f>H9/H5</f>
        <v/>
      </c>
      <c r="I10" s="11">
        <f>I9/I5</f>
        <v/>
      </c>
      <c r="J10" s="2" t="n"/>
    </row>
    <row r="11">
      <c r="A11" s="4" t="inlineStr">
        <is>
          <t>Operating Expenses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2" t="inlineStr">
        <is>
          <t>R&amp;D</t>
        </is>
      </c>
      <c r="B12" s="8" t="n">
        <v>119.054</v>
      </c>
      <c r="C12" s="8" t="n">
        <v>174.394</v>
      </c>
      <c r="D12" s="8" t="n">
        <v>270.716</v>
      </c>
      <c r="E12" s="9">
        <f>E5*Assumptions!E12</f>
        <v/>
      </c>
      <c r="F12" s="9">
        <f>F5*Assumptions!F12</f>
        <v/>
      </c>
      <c r="G12" s="9">
        <f>G5*Assumptions!G12</f>
        <v/>
      </c>
      <c r="H12" s="9">
        <f>H5*Assumptions!H12</f>
        <v/>
      </c>
      <c r="I12" s="9">
        <f>I5*Assumptions!I12</f>
        <v/>
      </c>
      <c r="J12" s="2" t="n"/>
    </row>
    <row r="13">
      <c r="A13" s="2" t="inlineStr">
        <is>
          <t>SG&amp;A</t>
        </is>
      </c>
      <c r="B13" s="8" t="n">
        <v>110.273</v>
      </c>
      <c r="C13" s="8" t="n">
        <v>131.556</v>
      </c>
      <c r="D13" s="8" t="n">
        <v>165.303</v>
      </c>
      <c r="E13" s="9">
        <f>E5*Assumptions!E13</f>
        <v/>
      </c>
      <c r="F13" s="9">
        <f>F5*Assumptions!F13</f>
        <v/>
      </c>
      <c r="G13" s="9">
        <f>G5*Assumptions!G13</f>
        <v/>
      </c>
      <c r="H13" s="9">
        <f>H5*Assumptions!H13</f>
        <v/>
      </c>
      <c r="I13" s="9">
        <f>I5*Assumptions!I13</f>
        <v/>
      </c>
      <c r="J13" s="2" t="n"/>
    </row>
    <row r="14">
      <c r="A14" s="2" t="inlineStr">
        <is>
          <t>Operating Expenses</t>
        </is>
      </c>
      <c r="B14" s="8" t="n">
        <v>229.327</v>
      </c>
      <c r="C14" s="8" t="n">
        <v>305.95</v>
      </c>
      <c r="D14" s="8" t="n">
        <v>436.019</v>
      </c>
      <c r="E14" s="9">
        <f>E12+E13</f>
        <v/>
      </c>
      <c r="F14" s="9">
        <f>F12+F13</f>
        <v/>
      </c>
      <c r="G14" s="9">
        <f>G12+G13</f>
        <v/>
      </c>
      <c r="H14" s="9">
        <f>H12+H13</f>
        <v/>
      </c>
      <c r="I14" s="9">
        <f>I12+I13</f>
        <v/>
      </c>
      <c r="J14" s="2" t="n"/>
    </row>
    <row r="15">
      <c r="A15" s="2" t="inlineStr">
        <is>
          <t>Operating Income</t>
        </is>
      </c>
      <c r="B15" s="8" t="n">
        <v>-177.918</v>
      </c>
      <c r="C15" s="8" t="n">
        <v>-189.801</v>
      </c>
      <c r="D15" s="8" t="n">
        <v>-228.838</v>
      </c>
      <c r="E15" s="9">
        <f>E9-E14</f>
        <v/>
      </c>
      <c r="F15" s="9">
        <f>F9-F14</f>
        <v/>
      </c>
      <c r="G15" s="9">
        <f>G9-G14</f>
        <v/>
      </c>
      <c r="H15" s="9">
        <f>H9-H14</f>
        <v/>
      </c>
      <c r="I15" s="9">
        <f>I9-I14</f>
        <v/>
      </c>
      <c r="J15" s="2" t="n"/>
    </row>
    <row r="16">
      <c r="A16" s="2" t="inlineStr">
        <is>
          <t>Operating Margin</t>
        </is>
      </c>
      <c r="B16" s="11">
        <f>B15/B5</f>
        <v/>
      </c>
      <c r="C16" s="11">
        <f>C15/C5</f>
        <v/>
      </c>
      <c r="D16" s="11">
        <f>D15/D5</f>
        <v/>
      </c>
      <c r="E16" s="11">
        <f>E15/E5</f>
        <v/>
      </c>
      <c r="F16" s="11">
        <f>F15/F5</f>
        <v/>
      </c>
      <c r="G16" s="11">
        <f>G15/G5</f>
        <v/>
      </c>
      <c r="H16" s="11">
        <f>H15/H5</f>
        <v/>
      </c>
      <c r="I16" s="11">
        <f>I15/I5</f>
        <v/>
      </c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D&amp;A</t>
        </is>
      </c>
      <c r="B18" s="8" t="n">
        <v>29.744</v>
      </c>
      <c r="C18" s="8" t="n">
        <v>33.655</v>
      </c>
      <c r="D18" s="8" t="n">
        <v>43.935</v>
      </c>
      <c r="E18" s="9">
        <f>E5*Assumptions!E14</f>
        <v/>
      </c>
      <c r="F18" s="9">
        <f>F5*Assumptions!F14</f>
        <v/>
      </c>
      <c r="G18" s="9">
        <f>G5*Assumptions!G14</f>
        <v/>
      </c>
      <c r="H18" s="9">
        <f>H5*Assumptions!H14</f>
        <v/>
      </c>
      <c r="I18" s="9">
        <f>I5*Assumptions!I14</f>
        <v/>
      </c>
      <c r="J18" s="2" t="n"/>
    </row>
    <row r="19">
      <c r="A19" s="2" t="inlineStr">
        <is>
          <t>EBITDA</t>
        </is>
      </c>
      <c r="B19" s="9">
        <f>B15+B18</f>
        <v/>
      </c>
      <c r="C19" s="9">
        <f>C15+C18</f>
        <v/>
      </c>
      <c r="D19" s="9">
        <f>D15+D18</f>
        <v/>
      </c>
      <c r="E19" s="9">
        <f>E15+E18</f>
        <v/>
      </c>
      <c r="F19" s="9">
        <f>F15+F18</f>
        <v/>
      </c>
      <c r="G19" s="9">
        <f>G15+G18</f>
        <v/>
      </c>
      <c r="H19" s="9">
        <f>H15+H18</f>
        <v/>
      </c>
      <c r="I19" s="9">
        <f>I15+I18</f>
        <v/>
      </c>
      <c r="J19" s="2" t="n"/>
    </row>
    <row r="20">
      <c r="A20" s="2" t="inlineStr">
        <is>
          <t>EBITDA Margin</t>
        </is>
      </c>
      <c r="B20" s="11">
        <f>B19/B5</f>
        <v/>
      </c>
      <c r="C20" s="11">
        <f>C19/C5</f>
        <v/>
      </c>
      <c r="D20" s="11">
        <f>D19/D5</f>
        <v/>
      </c>
      <c r="E20" s="11">
        <f>E19/E5</f>
        <v/>
      </c>
      <c r="F20" s="11">
        <f>F19/F5</f>
        <v/>
      </c>
      <c r="G20" s="11">
        <f>G19/G5</f>
        <v/>
      </c>
      <c r="H20" s="11">
        <f>H19/H5</f>
        <v/>
      </c>
      <c r="I20" s="11">
        <f>I19/I5</f>
        <v/>
      </c>
      <c r="J20" s="2" t="n"/>
    </row>
    <row r="21">
      <c r="A21" s="4" t="inlineStr">
        <is>
          <t>Below EBIT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2" t="inlineStr">
        <is>
          <t>Interest Expense Memo</t>
        </is>
      </c>
      <c r="B22" s="8" t="n">
        <v>4.248</v>
      </c>
      <c r="C22" s="8" t="n">
        <v>3.954</v>
      </c>
      <c r="D22" s="8" t="n">
        <v>26.489</v>
      </c>
      <c r="E22" s="9">
        <f>'Balance Sheet'!E22*Assumptions!E24</f>
        <v/>
      </c>
      <c r="F22" s="9">
        <f>'Balance Sheet'!F22*Assumptions!F24</f>
        <v/>
      </c>
      <c r="G22" s="9">
        <f>'Balance Sheet'!G22*Assumptions!G24</f>
        <v/>
      </c>
      <c r="H22" s="9">
        <f>'Balance Sheet'!H22*Assumptions!H24</f>
        <v/>
      </c>
      <c r="I22" s="9">
        <f>'Balance Sheet'!I22*Assumptions!I24</f>
        <v/>
      </c>
      <c r="J22" s="2" t="n"/>
    </row>
    <row r="23">
      <c r="A23" s="2" t="inlineStr">
        <is>
          <t>Net Nonoperating Income / Expense</t>
        </is>
      </c>
      <c r="B23" s="8" t="n">
        <v>-1.003</v>
      </c>
      <c r="C23" s="8" t="n">
        <v>0.39</v>
      </c>
      <c r="D23" s="8" t="n">
        <v>2.941</v>
      </c>
      <c r="E23" s="9">
        <f>-E22</f>
        <v/>
      </c>
      <c r="F23" s="9">
        <f>-F22</f>
        <v/>
      </c>
      <c r="G23" s="9">
        <f>-G22</f>
        <v/>
      </c>
      <c r="H23" s="9">
        <f>-H22</f>
        <v/>
      </c>
      <c r="I23" s="9">
        <f>-I22</f>
        <v/>
      </c>
      <c r="J23" s="2" t="n"/>
    </row>
    <row r="24">
      <c r="A24" s="2" t="inlineStr">
        <is>
          <t>Pre-tax Income</t>
        </is>
      </c>
      <c r="B24" s="9">
        <f>B15+B23</f>
        <v/>
      </c>
      <c r="C24" s="9">
        <f>C15+C23</f>
        <v/>
      </c>
      <c r="D24" s="9">
        <f>D15+D23</f>
        <v/>
      </c>
      <c r="E24" s="9">
        <f>E15+E23</f>
        <v/>
      </c>
      <c r="F24" s="9">
        <f>F15+F23</f>
        <v/>
      </c>
      <c r="G24" s="9">
        <f>G15+G23</f>
        <v/>
      </c>
      <c r="H24" s="9">
        <f>H15+H23</f>
        <v/>
      </c>
      <c r="I24" s="9">
        <f>I15+I23</f>
        <v/>
      </c>
      <c r="J24" s="2" t="n"/>
    </row>
    <row r="25">
      <c r="A25" s="2" t="inlineStr">
        <is>
          <t>Tax Expense / (Benefit)</t>
        </is>
      </c>
      <c r="B25" s="8" t="n">
        <v>3.65</v>
      </c>
      <c r="C25" s="8" t="n">
        <v>0.764</v>
      </c>
      <c r="D25" s="8" t="n">
        <v>-27.688</v>
      </c>
      <c r="E25" s="9">
        <f>IF(E24&gt;0,E24*Assumptions!E23,0)</f>
        <v/>
      </c>
      <c r="F25" s="9">
        <f>IF(F24&gt;0,F24*Assumptions!F23,0)</f>
        <v/>
      </c>
      <c r="G25" s="9">
        <f>IF(G24&gt;0,G24*Assumptions!G23,0)</f>
        <v/>
      </c>
      <c r="H25" s="9">
        <f>IF(H24&gt;0,H24*Assumptions!H23,0)</f>
        <v/>
      </c>
      <c r="I25" s="9">
        <f>IF(I24&gt;0,I24*Assumptions!I23,0)</f>
        <v/>
      </c>
      <c r="J25" s="2" t="n"/>
    </row>
    <row r="26">
      <c r="A26" s="2" t="inlineStr">
        <is>
          <t>Net Income</t>
        </is>
      </c>
      <c r="B26" s="8" t="n">
        <v>-182.571</v>
      </c>
      <c r="C26" s="8" t="n">
        <v>-190.175</v>
      </c>
      <c r="D26" s="8" t="n">
        <v>-198.209</v>
      </c>
      <c r="E26" s="9">
        <f>E24-E25</f>
        <v/>
      </c>
      <c r="F26" s="9">
        <f>F24-F25</f>
        <v/>
      </c>
      <c r="G26" s="9">
        <f>G24-G25</f>
        <v/>
      </c>
      <c r="H26" s="9">
        <f>H24-H25</f>
        <v/>
      </c>
      <c r="I26" s="9">
        <f>I24-I25</f>
        <v/>
      </c>
      <c r="J26" s="2" t="n"/>
    </row>
    <row r="27">
      <c r="A27" s="2" t="inlineStr">
        <is>
          <t>Net Margin</t>
        </is>
      </c>
      <c r="B27" s="11">
        <f>B26/B5</f>
        <v/>
      </c>
      <c r="C27" s="11">
        <f>C26/C5</f>
        <v/>
      </c>
      <c r="D27" s="11">
        <f>D26/D5</f>
        <v/>
      </c>
      <c r="E27" s="11">
        <f>E26/E5</f>
        <v/>
      </c>
      <c r="F27" s="11">
        <f>F26/F5</f>
        <v/>
      </c>
      <c r="G27" s="11">
        <f>G26/G5</f>
        <v/>
      </c>
      <c r="H27" s="11">
        <f>H26/H5</f>
        <v/>
      </c>
      <c r="I27" s="11">
        <f>I26/I5</f>
        <v/>
      </c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inlineStr">
        <is>
          <t>Diluted Shares</t>
        </is>
      </c>
      <c r="B29" s="8" t="n">
        <v>481.76806</v>
      </c>
      <c r="C29" s="8" t="n">
        <v>495.929861</v>
      </c>
      <c r="D29" s="8" t="n">
        <v>530.6647809999999</v>
      </c>
      <c r="E29" s="9">
        <f>D29*(1+Assumptions!E25)</f>
        <v/>
      </c>
      <c r="F29" s="9">
        <f>E29*(1+Assumptions!F25)</f>
        <v/>
      </c>
      <c r="G29" s="9">
        <f>F29*(1+Assumptions!G25)</f>
        <v/>
      </c>
      <c r="H29" s="9">
        <f>G29*(1+Assumptions!H25)</f>
        <v/>
      </c>
      <c r="I29" s="9">
        <f>H29*(1+Assumptions!I25)</f>
        <v/>
      </c>
      <c r="J29" s="2" t="n"/>
    </row>
    <row r="30">
      <c r="A30" s="2" t="inlineStr">
        <is>
          <t>EPS</t>
        </is>
      </c>
      <c r="B30" s="8" t="n">
        <v>-3.8e-07</v>
      </c>
      <c r="C30" s="8" t="n">
        <v>-3.8e-07</v>
      </c>
      <c r="D30" s="8" t="n">
        <v>-3.7e-07</v>
      </c>
      <c r="E30" s="9">
        <f>E26/E29</f>
        <v/>
      </c>
      <c r="F30" s="9">
        <f>F26/F29</f>
        <v/>
      </c>
      <c r="G30" s="9">
        <f>G26/G29</f>
        <v/>
      </c>
      <c r="H30" s="9">
        <f>H26/H29</f>
        <v/>
      </c>
      <c r="I30" s="9">
        <f>I26/I29</f>
        <v/>
      </c>
      <c r="J30" s="2" t="n"/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Balance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5" t="inlineStr">
        <is>
          <t>$ in millions, except per-share data</t>
        </is>
      </c>
      <c r="B3" s="6" t="inlineStr">
        <is>
          <t>FY2023A</t>
        </is>
      </c>
      <c r="C3" s="6" t="inlineStr">
        <is>
          <t>FY2024A</t>
        </is>
      </c>
      <c r="D3" s="6" t="inlineStr">
        <is>
          <t>FY2025A</t>
        </is>
      </c>
      <c r="E3" s="6" t="inlineStr">
        <is>
          <t>FY2026E</t>
        </is>
      </c>
      <c r="F3" s="6" t="inlineStr">
        <is>
          <t>FY2027E</t>
        </is>
      </c>
      <c r="G3" s="6" t="inlineStr">
        <is>
          <t>FY2028E</t>
        </is>
      </c>
      <c r="H3" s="6" t="inlineStr">
        <is>
          <t>FY2029E</t>
        </is>
      </c>
      <c r="I3" s="6" t="inlineStr">
        <is>
          <t>FY2030E</t>
        </is>
      </c>
      <c r="J3" s="2" t="n"/>
    </row>
    <row r="4">
      <c r="A4" s="4" t="inlineStr">
        <is>
          <t>Assets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2" t="inlineStr">
        <is>
          <t>Cash &amp; Equivalents</t>
        </is>
      </c>
      <c r="B5" s="8" t="n">
        <v>162.518</v>
      </c>
      <c r="C5" s="8" t="n">
        <v>271.042</v>
      </c>
      <c r="D5" s="8" t="n">
        <v>828.66</v>
      </c>
      <c r="E5" s="9">
        <f>'Cash Flow'!E20</f>
        <v/>
      </c>
      <c r="F5" s="9">
        <f>'Cash Flow'!F20</f>
        <v/>
      </c>
      <c r="G5" s="9">
        <f>'Cash Flow'!G20</f>
        <v/>
      </c>
      <c r="H5" s="9">
        <f>'Cash Flow'!H20</f>
        <v/>
      </c>
      <c r="I5" s="9">
        <f>'Cash Flow'!I20</f>
        <v/>
      </c>
      <c r="J5" s="2" t="n"/>
    </row>
    <row r="6">
      <c r="A6" s="2" t="inlineStr">
        <is>
          <t>Accounts Receivable</t>
        </is>
      </c>
      <c r="B6" s="8" t="n">
        <v>35.176</v>
      </c>
      <c r="C6" s="8" t="n">
        <v>36.44</v>
      </c>
      <c r="D6" s="8" t="n">
        <v>39.001</v>
      </c>
      <c r="E6" s="9">
        <f>'Income Statement'!E5*Assumptions!E17</f>
        <v/>
      </c>
      <c r="F6" s="9">
        <f>'Income Statement'!F5*Assumptions!F17</f>
        <v/>
      </c>
      <c r="G6" s="9">
        <f>'Income Statement'!G5*Assumptions!G17</f>
        <v/>
      </c>
      <c r="H6" s="9">
        <f>'Income Statement'!H5*Assumptions!H17</f>
        <v/>
      </c>
      <c r="I6" s="9">
        <f>'Income Statement'!I5*Assumptions!I17</f>
        <v/>
      </c>
      <c r="J6" s="2" t="n"/>
    </row>
    <row r="7">
      <c r="A7" s="2" t="inlineStr">
        <is>
          <t>Inventory</t>
        </is>
      </c>
      <c r="B7" s="8" t="n">
        <v>107.857</v>
      </c>
      <c r="C7" s="8" t="n">
        <v>119.074</v>
      </c>
      <c r="D7" s="8" t="n">
        <v>158.407</v>
      </c>
      <c r="E7" s="9">
        <f>'Income Statement'!E5*Assumptions!E18</f>
        <v/>
      </c>
      <c r="F7" s="9">
        <f>'Income Statement'!F5*Assumptions!F18</f>
        <v/>
      </c>
      <c r="G7" s="9">
        <f>'Income Statement'!G5*Assumptions!G18</f>
        <v/>
      </c>
      <c r="H7" s="9">
        <f>'Income Statement'!H5*Assumptions!H18</f>
        <v/>
      </c>
      <c r="I7" s="9">
        <f>'Income Statement'!I5*Assumptions!I18</f>
        <v/>
      </c>
      <c r="J7" s="2" t="n"/>
    </row>
    <row r="8">
      <c r="A8" s="2" t="inlineStr">
        <is>
          <t>Other Current Assets</t>
        </is>
      </c>
      <c r="B8" s="8" t="n">
        <v>66.949</v>
      </c>
      <c r="C8" s="8" t="n">
        <v>55.009</v>
      </c>
      <c r="D8" s="8" t="n">
        <v>89.953</v>
      </c>
      <c r="E8" s="9">
        <f>'Income Statement'!E5*Assumptions!E19</f>
        <v/>
      </c>
      <c r="F8" s="9">
        <f>'Income Statement'!F5*Assumptions!F19</f>
        <v/>
      </c>
      <c r="G8" s="9">
        <f>'Income Statement'!G5*Assumptions!G19</f>
        <v/>
      </c>
      <c r="H8" s="9">
        <f>'Income Statement'!H5*Assumptions!H19</f>
        <v/>
      </c>
      <c r="I8" s="9">
        <f>'Income Statement'!I5*Assumptions!I19</f>
        <v/>
      </c>
      <c r="J8" s="2" t="n"/>
    </row>
    <row r="9">
      <c r="A9" s="2" t="inlineStr">
        <is>
          <t>Total Current Assets</t>
        </is>
      </c>
      <c r="B9" s="8" t="n">
        <v>476.722</v>
      </c>
      <c r="C9" s="8" t="n">
        <v>692.621</v>
      </c>
      <c r="D9" s="8" t="n">
        <v>1365.544</v>
      </c>
      <c r="E9" s="9">
        <f>SUM(E5:E8)</f>
        <v/>
      </c>
      <c r="F9" s="9">
        <f>SUM(F5:F8)</f>
        <v/>
      </c>
      <c r="G9" s="9">
        <f>SUM(G5:G8)</f>
        <v/>
      </c>
      <c r="H9" s="9">
        <f>SUM(H5:H8)</f>
        <v/>
      </c>
      <c r="I9" s="9">
        <f>SUM(I5:I8)</f>
        <v/>
      </c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PP&amp;E, Net</t>
        </is>
      </c>
      <c r="B11" s="8" t="n">
        <v>145.409</v>
      </c>
      <c r="C11" s="8" t="n">
        <v>194.838</v>
      </c>
      <c r="D11" s="8" t="n">
        <v>319.473</v>
      </c>
      <c r="E11" s="9">
        <f>D11+'Cash Flow'!E11-'Income Statement'!E18</f>
        <v/>
      </c>
      <c r="F11" s="9">
        <f>E11+'Cash Flow'!F11-'Income Statement'!F18</f>
        <v/>
      </c>
      <c r="G11" s="9">
        <f>F11+'Cash Flow'!G11-'Income Statement'!G18</f>
        <v/>
      </c>
      <c r="H11" s="9">
        <f>G11+'Cash Flow'!H11-'Income Statement'!H18</f>
        <v/>
      </c>
      <c r="I11" s="9">
        <f>H11+'Cash Flow'!I11-'Income Statement'!I18</f>
        <v/>
      </c>
      <c r="J11" s="2" t="n"/>
    </row>
    <row r="12">
      <c r="A12" s="2" t="inlineStr">
        <is>
          <t>Goodwill</t>
        </is>
      </c>
      <c r="B12" s="8" t="n">
        <v>71.02</v>
      </c>
      <c r="C12" s="8" t="n">
        <v>71.02</v>
      </c>
      <c r="D12" s="8" t="n">
        <v>205.75</v>
      </c>
      <c r="E12" s="9">
        <f>D12</f>
        <v/>
      </c>
      <c r="F12" s="9">
        <f>E12</f>
        <v/>
      </c>
      <c r="G12" s="9">
        <f>F12</f>
        <v/>
      </c>
      <c r="H12" s="9">
        <f>G12</f>
        <v/>
      </c>
      <c r="I12" s="9">
        <f>H12</f>
        <v/>
      </c>
      <c r="J12" s="2" t="n"/>
    </row>
    <row r="13">
      <c r="A13" s="2" t="inlineStr">
        <is>
          <t>Intangibles</t>
        </is>
      </c>
      <c r="B13" s="8" t="n">
        <v>68.09399999999999</v>
      </c>
      <c r="C13" s="8" t="n">
        <v>58.637</v>
      </c>
      <c r="D13" s="8" t="n">
        <v>224.746</v>
      </c>
      <c r="E13" s="9">
        <f>D13</f>
        <v/>
      </c>
      <c r="F13" s="9">
        <f>E13</f>
        <v/>
      </c>
      <c r="G13" s="9">
        <f>F13</f>
        <v/>
      </c>
      <c r="H13" s="9">
        <f>G13</f>
        <v/>
      </c>
      <c r="I13" s="9">
        <f>H13</f>
        <v/>
      </c>
      <c r="J13" s="2" t="n"/>
    </row>
    <row r="14">
      <c r="A14" s="2" t="inlineStr">
        <is>
          <t>Other Assets</t>
        </is>
      </c>
      <c r="B14" s="8" t="n">
        <v>18.914</v>
      </c>
      <c r="C14" s="8" t="n">
        <v>31.21</v>
      </c>
      <c r="D14" s="8" t="n">
        <v>15.672</v>
      </c>
      <c r="E14" s="9">
        <f>D14</f>
        <v/>
      </c>
      <c r="F14" s="9">
        <f>E14</f>
        <v/>
      </c>
      <c r="G14" s="9">
        <f>F14</f>
        <v/>
      </c>
      <c r="H14" s="9">
        <f>G14</f>
        <v/>
      </c>
      <c r="I14" s="9">
        <f>H14</f>
        <v/>
      </c>
      <c r="J14" s="2" t="n"/>
    </row>
    <row r="15">
      <c r="A15" s="2" t="inlineStr">
        <is>
          <t>Total Assets</t>
        </is>
      </c>
      <c r="B15" s="8" t="n">
        <v>941.211</v>
      </c>
      <c r="C15" s="8" t="n">
        <v>1184.342</v>
      </c>
      <c r="D15" s="8" t="n">
        <v>2324.478</v>
      </c>
      <c r="E15" s="9">
        <f>SUM(E9,E11:E14)</f>
        <v/>
      </c>
      <c r="F15" s="9">
        <f>SUM(F9,F11:F14)</f>
        <v/>
      </c>
      <c r="G15" s="9">
        <f>SUM(G9,G11:G14)</f>
        <v/>
      </c>
      <c r="H15" s="9">
        <f>SUM(H9,H11:H14)</f>
        <v/>
      </c>
      <c r="I15" s="9">
        <f>SUM(I9,I11:I14)</f>
        <v/>
      </c>
      <c r="J15" s="2" t="n"/>
    </row>
    <row r="16">
      <c r="A16" s="4" t="inlineStr">
        <is>
          <t>Liabilities and Equity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2" t="inlineStr">
        <is>
          <t>Accounts Payable</t>
        </is>
      </c>
      <c r="B17" s="8" t="n">
        <v>29.303</v>
      </c>
      <c r="C17" s="8" t="n">
        <v>53.059</v>
      </c>
      <c r="D17" s="8" t="n">
        <v>72.699</v>
      </c>
      <c r="E17" s="9">
        <f>'Income Statement'!E5*Assumptions!E20</f>
        <v/>
      </c>
      <c r="F17" s="9">
        <f>'Income Statement'!F5*Assumptions!F20</f>
        <v/>
      </c>
      <c r="G17" s="9">
        <f>'Income Statement'!G5*Assumptions!G20</f>
        <v/>
      </c>
      <c r="H17" s="9">
        <f>'Income Statement'!H5*Assumptions!H20</f>
        <v/>
      </c>
      <c r="I17" s="9">
        <f>'Income Statement'!I5*Assumptions!I20</f>
        <v/>
      </c>
      <c r="J17" s="2" t="n"/>
    </row>
    <row r="18">
      <c r="A18" s="2" t="inlineStr">
        <is>
          <t>Accrued Liabilities</t>
        </is>
      </c>
      <c r="B18" s="8" t="n">
        <v>5.59</v>
      </c>
      <c r="C18" s="8" t="n">
        <v>19.46</v>
      </c>
      <c r="D18" s="8" t="n">
        <v>19.299</v>
      </c>
      <c r="E18" s="9">
        <f>'Income Statement'!E5*Assumptions!E21</f>
        <v/>
      </c>
      <c r="F18" s="9">
        <f>'Income Statement'!F5*Assumptions!F21</f>
        <v/>
      </c>
      <c r="G18" s="9">
        <f>'Income Statement'!G5*Assumptions!G21</f>
        <v/>
      </c>
      <c r="H18" s="9">
        <f>'Income Statement'!H5*Assumptions!H21</f>
        <v/>
      </c>
      <c r="I18" s="9">
        <f>'Income Statement'!I5*Assumptions!I21</f>
        <v/>
      </c>
      <c r="J18" s="2" t="n"/>
    </row>
    <row r="19">
      <c r="A19" s="2" t="inlineStr">
        <is>
          <t>Contract Liabilities</t>
        </is>
      </c>
      <c r="B19" s="8" t="n">
        <v>139.338</v>
      </c>
      <c r="C19" s="8" t="n">
        <v>216.16</v>
      </c>
      <c r="D19" s="8" t="n">
        <v>195.438</v>
      </c>
      <c r="E19" s="9">
        <f>'Income Statement'!E5*Assumptions!E22</f>
        <v/>
      </c>
      <c r="F19" s="9">
        <f>'Income Statement'!F5*Assumptions!F22</f>
        <v/>
      </c>
      <c r="G19" s="9">
        <f>'Income Statement'!G5*Assumptions!G22</f>
        <v/>
      </c>
      <c r="H19" s="9">
        <f>'Income Statement'!H5*Assumptions!H22</f>
        <v/>
      </c>
      <c r="I19" s="9">
        <f>'Income Statement'!I5*Assumptions!I22</f>
        <v/>
      </c>
      <c r="J19" s="2" t="n"/>
    </row>
    <row r="20">
      <c r="A20" s="2" t="inlineStr">
        <is>
          <t>Current Liabilities</t>
        </is>
      </c>
      <c r="B20" s="8" t="n">
        <v>223.373</v>
      </c>
      <c r="C20" s="8" t="n">
        <v>339.525</v>
      </c>
      <c r="D20" s="8" t="n">
        <v>334.476</v>
      </c>
      <c r="E20" s="9">
        <f>SUM(E17:E19)</f>
        <v/>
      </c>
      <c r="F20" s="9">
        <f>SUM(F17:F19)</f>
        <v/>
      </c>
      <c r="G20" s="9">
        <f>SUM(G17:G19)</f>
        <v/>
      </c>
      <c r="H20" s="9">
        <f>SUM(H17:H19)</f>
        <v/>
      </c>
      <c r="I20" s="9">
        <f>SUM(I17:I19)</f>
        <v/>
      </c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inlineStr">
        <is>
          <t>Total Debt</t>
        </is>
      </c>
      <c r="B22" s="8" t="n">
        <v>110</v>
      </c>
      <c r="C22" s="8" t="n">
        <v>345.392</v>
      </c>
      <c r="D22" s="8" t="n">
        <v>152.395</v>
      </c>
      <c r="E22" s="9">
        <f>D22</f>
        <v/>
      </c>
      <c r="F22" s="9">
        <f>E22</f>
        <v/>
      </c>
      <c r="G22" s="9">
        <f>F22</f>
        <v/>
      </c>
      <c r="H22" s="9">
        <f>G22</f>
        <v/>
      </c>
      <c r="I22" s="9">
        <f>H22</f>
        <v/>
      </c>
      <c r="J22" s="2" t="n"/>
    </row>
    <row r="23">
      <c r="A23" s="2" t="inlineStr">
        <is>
          <t>Lease / Other Noncurrent Liabilities</t>
        </is>
      </c>
      <c r="B23" s="8" t="n">
        <v>56.099</v>
      </c>
      <c r="C23" s="8" t="n">
        <v>51.965</v>
      </c>
      <c r="D23" s="8" t="n">
        <v>85.191</v>
      </c>
      <c r="E23" s="9">
        <f>D23</f>
        <v/>
      </c>
      <c r="F23" s="9">
        <f>E23</f>
        <v/>
      </c>
      <c r="G23" s="9">
        <f>F23</f>
        <v/>
      </c>
      <c r="H23" s="9">
        <f>G23</f>
        <v/>
      </c>
      <c r="I23" s="9">
        <f>H23</f>
        <v/>
      </c>
      <c r="J23" s="2" t="n"/>
    </row>
    <row r="24">
      <c r="A24" s="2" t="inlineStr">
        <is>
          <t>Total Liabilities</t>
        </is>
      </c>
      <c r="B24" s="8" t="n">
        <v>386.667</v>
      </c>
      <c r="C24" s="8" t="n">
        <v>801.889</v>
      </c>
      <c r="D24" s="8" t="n">
        <v>602.624</v>
      </c>
      <c r="E24" s="9">
        <f>SUM(E20,E22:E23)</f>
        <v/>
      </c>
      <c r="F24" s="9">
        <f>SUM(F20,F22:F23)</f>
        <v/>
      </c>
      <c r="G24" s="9">
        <f>SUM(G20,G22:G23)</f>
        <v/>
      </c>
      <c r="H24" s="9">
        <f>SUM(H20,H22:H23)</f>
        <v/>
      </c>
      <c r="I24" s="9">
        <f>SUM(I20,I22:I23)</f>
        <v/>
      </c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inlineStr">
        <is>
          <t>Shareholders' Equity</t>
        </is>
      </c>
      <c r="B26" s="8" t="n">
        <v>554.544</v>
      </c>
      <c r="C26" s="8" t="n">
        <v>382.453</v>
      </c>
      <c r="D26" s="8" t="n">
        <v>1721.854</v>
      </c>
      <c r="E26" s="9">
        <f>E15-E24</f>
        <v/>
      </c>
      <c r="F26" s="9">
        <f>F15-F24</f>
        <v/>
      </c>
      <c r="G26" s="9">
        <f>G15-G24</f>
        <v/>
      </c>
      <c r="H26" s="9">
        <f>H15-H24</f>
        <v/>
      </c>
      <c r="I26" s="9">
        <f>I15-I24</f>
        <v/>
      </c>
      <c r="J26" s="2" t="n"/>
    </row>
    <row r="27">
      <c r="A27" s="2" t="inlineStr">
        <is>
          <t>Liabilities + Equity</t>
        </is>
      </c>
      <c r="B27" s="8" t="n">
        <v>941.211</v>
      </c>
      <c r="C27" s="8" t="n">
        <v>1184.342</v>
      </c>
      <c r="D27" s="8" t="n">
        <v>2324.478</v>
      </c>
      <c r="E27" s="9">
        <f>E24+E26</f>
        <v/>
      </c>
      <c r="F27" s="9">
        <f>F24+F26</f>
        <v/>
      </c>
      <c r="G27" s="9">
        <f>G24+G26</f>
        <v/>
      </c>
      <c r="H27" s="9">
        <f>H24+H26</f>
        <v/>
      </c>
      <c r="I27" s="9">
        <f>I24+I26</f>
        <v/>
      </c>
      <c r="J27" s="2" t="n"/>
    </row>
    <row r="28">
      <c r="A28" s="4" t="inlineStr">
        <is>
          <t>Checks / Memo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2" t="inlineStr">
        <is>
          <t>Balance Check</t>
        </is>
      </c>
      <c r="B29" s="9">
        <f>B15-B27</f>
        <v/>
      </c>
      <c r="C29" s="9">
        <f>C15-C27</f>
        <v/>
      </c>
      <c r="D29" s="9">
        <f>D15-D27</f>
        <v/>
      </c>
      <c r="E29" s="9">
        <f>E15-E27</f>
        <v/>
      </c>
      <c r="F29" s="9">
        <f>F15-F27</f>
        <v/>
      </c>
      <c r="G29" s="9">
        <f>G15-G27</f>
        <v/>
      </c>
      <c r="H29" s="9">
        <f>H15-H27</f>
        <v/>
      </c>
      <c r="I29" s="9">
        <f>I15-I27</f>
        <v/>
      </c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inlineStr">
        <is>
          <t>Net Cash / (Debt)</t>
        </is>
      </c>
      <c r="B31" s="9">
        <f>B5-B22</f>
        <v/>
      </c>
      <c r="C31" s="9">
        <f>C5-C22</f>
        <v/>
      </c>
      <c r="D31" s="9">
        <f>D5-D22</f>
        <v/>
      </c>
      <c r="E31" s="9">
        <f>E5-E22</f>
        <v/>
      </c>
      <c r="F31" s="9">
        <f>F5-F22</f>
        <v/>
      </c>
      <c r="G31" s="9">
        <f>G5-G22</f>
        <v/>
      </c>
      <c r="H31" s="9">
        <f>H5-H22</f>
        <v/>
      </c>
      <c r="I31" s="9">
        <f>I5-I22</f>
        <v/>
      </c>
      <c r="J31" s="2" t="n"/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Cash Flow Statement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5" t="inlineStr">
        <is>
          <t>$ in millions, except per-share data</t>
        </is>
      </c>
      <c r="B3" s="6" t="inlineStr">
        <is>
          <t>FY2023A</t>
        </is>
      </c>
      <c r="C3" s="6" t="inlineStr">
        <is>
          <t>FY2024A</t>
        </is>
      </c>
      <c r="D3" s="6" t="inlineStr">
        <is>
          <t>FY2025A</t>
        </is>
      </c>
      <c r="E3" s="6" t="inlineStr">
        <is>
          <t>FY2026E</t>
        </is>
      </c>
      <c r="F3" s="6" t="inlineStr">
        <is>
          <t>FY2027E</t>
        </is>
      </c>
      <c r="G3" s="6" t="inlineStr">
        <is>
          <t>FY2028E</t>
        </is>
      </c>
      <c r="H3" s="6" t="inlineStr">
        <is>
          <t>FY2029E</t>
        </is>
      </c>
      <c r="I3" s="6" t="inlineStr">
        <is>
          <t>FY2030E</t>
        </is>
      </c>
      <c r="J3" s="2" t="n"/>
    </row>
    <row r="4">
      <c r="A4" s="4" t="inlineStr">
        <is>
          <t>Operating Cash Flow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2" t="inlineStr">
        <is>
          <t>Net Income</t>
        </is>
      </c>
      <c r="B5" s="8" t="n">
        <v>-182.571</v>
      </c>
      <c r="C5" s="8" t="n">
        <v>-190.175</v>
      </c>
      <c r="D5" s="8" t="n">
        <v>-198.209</v>
      </c>
      <c r="E5" s="9">
        <f>'Income Statement'!E26</f>
        <v/>
      </c>
      <c r="F5" s="9">
        <f>'Income Statement'!F26</f>
        <v/>
      </c>
      <c r="G5" s="9">
        <f>'Income Statement'!G26</f>
        <v/>
      </c>
      <c r="H5" s="9">
        <f>'Income Statement'!H26</f>
        <v/>
      </c>
      <c r="I5" s="9">
        <f>'Income Statement'!I26</f>
        <v/>
      </c>
      <c r="J5" s="2" t="n"/>
    </row>
    <row r="6">
      <c r="A6" s="2" t="inlineStr">
        <is>
          <t>D&amp;A</t>
        </is>
      </c>
      <c r="B6" s="8" t="n">
        <v>29.744</v>
      </c>
      <c r="C6" s="8" t="n">
        <v>33.655</v>
      </c>
      <c r="D6" s="8" t="n">
        <v>43.935</v>
      </c>
      <c r="E6" s="9">
        <f>'Income Statement'!E18</f>
        <v/>
      </c>
      <c r="F6" s="9">
        <f>'Income Statement'!F18</f>
        <v/>
      </c>
      <c r="G6" s="9">
        <f>'Income Statement'!G18</f>
        <v/>
      </c>
      <c r="H6" s="9">
        <f>'Income Statement'!H18</f>
        <v/>
      </c>
      <c r="I6" s="9">
        <f>'Income Statement'!I18</f>
        <v/>
      </c>
      <c r="J6" s="2" t="n"/>
    </row>
    <row r="7">
      <c r="A7" s="2" t="inlineStr">
        <is>
          <t>Stock-Based Compensation</t>
        </is>
      </c>
      <c r="B7" s="8" t="n">
        <v>53.461</v>
      </c>
      <c r="C7" s="8" t="n">
        <v>56.816</v>
      </c>
      <c r="D7" s="8" t="n">
        <v>71.099</v>
      </c>
      <c r="E7" s="9">
        <f>'Income Statement'!E5*Assumptions!E15</f>
        <v/>
      </c>
      <c r="F7" s="9">
        <f>'Income Statement'!F5*Assumptions!F15</f>
        <v/>
      </c>
      <c r="G7" s="9">
        <f>'Income Statement'!G5*Assumptions!G15</f>
        <v/>
      </c>
      <c r="H7" s="9">
        <f>'Income Statement'!H5*Assumptions!H15</f>
        <v/>
      </c>
      <c r="I7" s="9">
        <f>'Income Statement'!I5*Assumptions!I15</f>
        <v/>
      </c>
      <c r="J7" s="2" t="n"/>
    </row>
    <row r="8">
      <c r="A8" s="2" t="inlineStr">
        <is>
          <t>Change in NWC</t>
        </is>
      </c>
      <c r="B8" s="9">
        <f>B5+B6+B7-B9</f>
        <v/>
      </c>
      <c r="C8" s="9">
        <f>C5+C6+C7-C9</f>
        <v/>
      </c>
      <c r="D8" s="9">
        <f>D5+D6+D7-D9</f>
        <v/>
      </c>
      <c r="E8" s="9">
        <f>('Balance Sheet'!E6+'Balance Sheet'!E7+'Balance Sheet'!E8-'Balance Sheet'!E17-'Balance Sheet'!E18-'Balance Sheet'!E19)-('Balance Sheet'!D6+'Balance Sheet'!D7+'Balance Sheet'!D8-'Balance Sheet'!D17-'Balance Sheet'!D18-'Balance Sheet'!D19)</f>
        <v/>
      </c>
      <c r="F8" s="9">
        <f>('Balance Sheet'!F6+'Balance Sheet'!F7+'Balance Sheet'!F8-'Balance Sheet'!F17-'Balance Sheet'!F18-'Balance Sheet'!F19)-('Balance Sheet'!E6+'Balance Sheet'!E7+'Balance Sheet'!E8-'Balance Sheet'!E17-'Balance Sheet'!E18-'Balance Sheet'!E19)</f>
        <v/>
      </c>
      <c r="G8" s="9">
        <f>('Balance Sheet'!G6+'Balance Sheet'!G7+'Balance Sheet'!G8-'Balance Sheet'!G17-'Balance Sheet'!G18-'Balance Sheet'!G19)-('Balance Sheet'!F6+'Balance Sheet'!F7+'Balance Sheet'!F8-'Balance Sheet'!F17-'Balance Sheet'!F18-'Balance Sheet'!F19)</f>
        <v/>
      </c>
      <c r="H8" s="9">
        <f>('Balance Sheet'!H6+'Balance Sheet'!H7+'Balance Sheet'!H8-'Balance Sheet'!H17-'Balance Sheet'!H18-'Balance Sheet'!H19)-('Balance Sheet'!G6+'Balance Sheet'!G7+'Balance Sheet'!G8-'Balance Sheet'!G17-'Balance Sheet'!G18-'Balance Sheet'!G19)</f>
        <v/>
      </c>
      <c r="I8" s="9">
        <f>('Balance Sheet'!I6+'Balance Sheet'!I7+'Balance Sheet'!I8-'Balance Sheet'!I17-'Balance Sheet'!I18-'Balance Sheet'!I19)-('Balance Sheet'!H6+'Balance Sheet'!H7+'Balance Sheet'!H8-'Balance Sheet'!H17-'Balance Sheet'!H18-'Balance Sheet'!H19)</f>
        <v/>
      </c>
      <c r="J8" s="2" t="n"/>
    </row>
    <row r="9">
      <c r="A9" s="2" t="inlineStr">
        <is>
          <t>Cash Flow from Operations</t>
        </is>
      </c>
      <c r="B9" s="8" t="n">
        <v>-98.867</v>
      </c>
      <c r="C9" s="8" t="n">
        <v>-48.89</v>
      </c>
      <c r="D9" s="8" t="n">
        <v>-165.521</v>
      </c>
      <c r="E9" s="9">
        <f>E5+E6+E7-E8</f>
        <v/>
      </c>
      <c r="F9" s="9">
        <f>F5+F6+F7-F8</f>
        <v/>
      </c>
      <c r="G9" s="9">
        <f>G5+G6+G7-G8</f>
        <v/>
      </c>
      <c r="H9" s="9">
        <f>H5+H6+H7-H8</f>
        <v/>
      </c>
      <c r="I9" s="9">
        <f>I5+I6+I7-I8</f>
        <v/>
      </c>
      <c r="J9" s="2" t="n"/>
    </row>
    <row r="10">
      <c r="A10" s="4" t="inlineStr">
        <is>
          <t>Investing Cash Flow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2" t="inlineStr">
        <is>
          <t>CapEx</t>
        </is>
      </c>
      <c r="B11" s="8" t="n">
        <v>54.707</v>
      </c>
      <c r="C11" s="8" t="n">
        <v>67.093</v>
      </c>
      <c r="D11" s="8" t="n">
        <v>156.285</v>
      </c>
      <c r="E11" s="9">
        <f>'Income Statement'!E5*Assumptions!E16</f>
        <v/>
      </c>
      <c r="F11" s="9">
        <f>'Income Statement'!F5*Assumptions!F16</f>
        <v/>
      </c>
      <c r="G11" s="9">
        <f>'Income Statement'!G5*Assumptions!G16</f>
        <v/>
      </c>
      <c r="H11" s="9">
        <f>'Income Statement'!H5*Assumptions!H16</f>
        <v/>
      </c>
      <c r="I11" s="9">
        <f>'Income Statement'!I5*Assumptions!I16</f>
        <v/>
      </c>
      <c r="J11" s="2" t="n"/>
    </row>
    <row r="12">
      <c r="A12" s="2" t="inlineStr">
        <is>
          <t>Acquisitions</t>
        </is>
      </c>
      <c r="B12" s="8" t="n">
        <v>18.966</v>
      </c>
      <c r="C12" s="8" t="n">
        <v>0</v>
      </c>
      <c r="D12" s="8" t="n">
        <v>132.441</v>
      </c>
      <c r="E12" s="9">
        <f>0</f>
        <v/>
      </c>
      <c r="F12" s="9">
        <f>0</f>
        <v/>
      </c>
      <c r="G12" s="9">
        <f>0</f>
        <v/>
      </c>
      <c r="H12" s="9">
        <f>0</f>
        <v/>
      </c>
      <c r="I12" s="9">
        <f>0</f>
        <v/>
      </c>
      <c r="J12" s="2" t="n"/>
    </row>
    <row r="13">
      <c r="A13" s="2" t="inlineStr">
        <is>
          <t>Cash Flow from Investing</t>
        </is>
      </c>
      <c r="B13" s="8" t="n">
        <v>12.018</v>
      </c>
      <c r="C13" s="8" t="n">
        <v>-98.327</v>
      </c>
      <c r="D13" s="8" t="n">
        <v>-347.397</v>
      </c>
      <c r="E13" s="9">
        <f>-E11-E12</f>
        <v/>
      </c>
      <c r="F13" s="9">
        <f>-F11-F12</f>
        <v/>
      </c>
      <c r="G13" s="9">
        <f>-G11-G12</f>
        <v/>
      </c>
      <c r="H13" s="9">
        <f>-H11-H12</f>
        <v/>
      </c>
      <c r="I13" s="9">
        <f>-I11-I12</f>
        <v/>
      </c>
      <c r="J13" s="2" t="n"/>
    </row>
    <row r="14">
      <c r="A14" s="4" t="inlineStr">
        <is>
          <t>Financing Cash Flow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2" t="inlineStr">
        <is>
          <t>Debt / Equity Financing</t>
        </is>
      </c>
      <c r="B15" s="9">
        <f>B16</f>
        <v/>
      </c>
      <c r="C15" s="9">
        <f>C16</f>
        <v/>
      </c>
      <c r="D15" s="9">
        <f>D16</f>
        <v/>
      </c>
      <c r="E15" s="9">
        <f>0</f>
        <v/>
      </c>
      <c r="F15" s="9">
        <f>0</f>
        <v/>
      </c>
      <c r="G15" s="9">
        <f>0</f>
        <v/>
      </c>
      <c r="H15" s="9">
        <f>0</f>
        <v/>
      </c>
      <c r="I15" s="9">
        <f>0</f>
        <v/>
      </c>
      <c r="J15" s="2" t="n"/>
    </row>
    <row r="16">
      <c r="A16" s="2" t="inlineStr">
        <is>
          <t>Cash Flow from Financing</t>
        </is>
      </c>
      <c r="B16" s="8" t="n">
        <v>7.369</v>
      </c>
      <c r="C16" s="8" t="n">
        <v>256.682</v>
      </c>
      <c r="D16" s="8" t="n">
        <v>1071.271</v>
      </c>
      <c r="E16" s="9">
        <f>E15</f>
        <v/>
      </c>
      <c r="F16" s="9">
        <f>F15</f>
        <v/>
      </c>
      <c r="G16" s="9">
        <f>G15</f>
        <v/>
      </c>
      <c r="H16" s="9">
        <f>H15</f>
        <v/>
      </c>
      <c r="I16" s="9">
        <f>I15</f>
        <v/>
      </c>
      <c r="J16" s="2" t="n"/>
    </row>
    <row r="17">
      <c r="A17" s="4" t="inlineStr">
        <is>
          <t>Cash Tie-Out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2" t="inlineStr">
        <is>
          <t>Beginning Cash</t>
        </is>
      </c>
      <c r="B18" s="9">
        <f>B20-B19</f>
        <v/>
      </c>
      <c r="C18" s="9">
        <f>B20</f>
        <v/>
      </c>
      <c r="D18" s="9">
        <f>C20</f>
        <v/>
      </c>
      <c r="E18" s="9">
        <f>D20</f>
        <v/>
      </c>
      <c r="F18" s="9">
        <f>E20</f>
        <v/>
      </c>
      <c r="G18" s="9">
        <f>F20</f>
        <v/>
      </c>
      <c r="H18" s="9">
        <f>G20</f>
        <v/>
      </c>
      <c r="I18" s="9">
        <f>H20</f>
        <v/>
      </c>
      <c r="J18" s="2" t="n"/>
    </row>
    <row r="19">
      <c r="A19" s="2" t="inlineStr">
        <is>
          <t>Net Change in Cash</t>
        </is>
      </c>
      <c r="B19" s="8" t="n">
        <v>-79.437</v>
      </c>
      <c r="C19" s="8" t="n">
        <v>108.868</v>
      </c>
      <c r="D19" s="8" t="n">
        <v>558.2430000000001</v>
      </c>
      <c r="E19" s="9">
        <f>E9+E13+E16</f>
        <v/>
      </c>
      <c r="F19" s="9">
        <f>F9+F13+F16</f>
        <v/>
      </c>
      <c r="G19" s="9">
        <f>G9+G13+G16</f>
        <v/>
      </c>
      <c r="H19" s="9">
        <f>H9+H13+H16</f>
        <v/>
      </c>
      <c r="I19" s="9">
        <f>I9+I13+I16</f>
        <v/>
      </c>
      <c r="J19" s="2" t="n"/>
    </row>
    <row r="20">
      <c r="A20" s="2" t="inlineStr">
        <is>
          <t>Ending Cash</t>
        </is>
      </c>
      <c r="B20" s="8" t="n">
        <v>166.434</v>
      </c>
      <c r="C20" s="8" t="n">
        <v>275.302</v>
      </c>
      <c r="D20" s="8" t="n">
        <v>833.545</v>
      </c>
      <c r="E20" s="9">
        <f>E18+E19</f>
        <v/>
      </c>
      <c r="F20" s="9">
        <f>F18+F19</f>
        <v/>
      </c>
      <c r="G20" s="9">
        <f>G18+G19</f>
        <v/>
      </c>
      <c r="H20" s="9">
        <f>H18+H19</f>
        <v/>
      </c>
      <c r="I20" s="9">
        <f>I18+I19</f>
        <v/>
      </c>
      <c r="J20" s="2" t="n"/>
    </row>
    <row r="21">
      <c r="A21" s="2" t="inlineStr">
        <is>
          <t>Cash Tie Check</t>
        </is>
      </c>
      <c r="B21" s="9">
        <f>B20-'Balance Sheet'!B5</f>
        <v/>
      </c>
      <c r="C21" s="9">
        <f>C20-'Balance Sheet'!C5</f>
        <v/>
      </c>
      <c r="D21" s="9">
        <f>D20-'Balance Sheet'!D5</f>
        <v/>
      </c>
      <c r="E21" s="9">
        <f>E20-'Balance Sheet'!E5</f>
        <v/>
      </c>
      <c r="F21" s="9">
        <f>F20-'Balance Sheet'!F5</f>
        <v/>
      </c>
      <c r="G21" s="9">
        <f>G20-'Balance Sheet'!G5</f>
        <v/>
      </c>
      <c r="H21" s="9">
        <f>H20-'Balance Sheet'!H5</f>
        <v/>
      </c>
      <c r="I21" s="9">
        <f>I20-'Balance Sheet'!I5</f>
        <v/>
      </c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Unlevered FCF</t>
        </is>
      </c>
      <c r="B23" s="9">
        <f>'Income Statement'!B15*(1-21%)+B6-B11-B8</f>
        <v/>
      </c>
      <c r="C23" s="9">
        <f>'Income Statement'!C15*(1-21%)+C6-C11-C8</f>
        <v/>
      </c>
      <c r="D23" s="9">
        <f>'Income Statement'!D15*(1-21%)+D6-D11-D8</f>
        <v/>
      </c>
      <c r="E23" s="9">
        <f>'Income Statement'!E15*(1-Assumptions!E23)+E6-E11-E8</f>
        <v/>
      </c>
      <c r="F23" s="9">
        <f>'Income Statement'!F15*(1-Assumptions!F23)+F6-F11-F8</f>
        <v/>
      </c>
      <c r="G23" s="9">
        <f>'Income Statement'!G15*(1-Assumptions!G23)+G6-G11-G8</f>
        <v/>
      </c>
      <c r="H23" s="9">
        <f>'Income Statement'!H15*(1-Assumptions!H23)+H6-H11-H8</f>
        <v/>
      </c>
      <c r="I23" s="9">
        <f>'Income Statement'!I15*(1-Assumptions!I23)+I6-I11-I8</f>
        <v/>
      </c>
      <c r="J23" s="2" t="n"/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DCF Valuation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6" t="inlineStr">
        <is>
          <t>FY2026E</t>
        </is>
      </c>
      <c r="C3" s="6" t="inlineStr">
        <is>
          <t>FY2027E</t>
        </is>
      </c>
      <c r="D3" s="6" t="inlineStr">
        <is>
          <t>FY2028E</t>
        </is>
      </c>
      <c r="E3" s="6" t="inlineStr">
        <is>
          <t>FY2029E</t>
        </is>
      </c>
      <c r="F3" s="6" t="inlineStr">
        <is>
          <t>FY2030E</t>
        </is>
      </c>
      <c r="G3" s="2" t="n"/>
      <c r="H3" s="2" t="n"/>
      <c r="I3" s="2" t="n"/>
    </row>
    <row r="4">
      <c r="A4" s="4" t="inlineStr">
        <is>
          <t>Unlevered Free Cash Flow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2" t="inlineStr">
        <is>
          <t>Revenue</t>
        </is>
      </c>
      <c r="B5" s="9">
        <f>'Income Statement'!E5</f>
        <v/>
      </c>
      <c r="C5" s="9">
        <f>'Income Statement'!F5</f>
        <v/>
      </c>
      <c r="D5" s="9">
        <f>'Income Statement'!G5</f>
        <v/>
      </c>
      <c r="E5" s="9">
        <f>'Income Statement'!H5</f>
        <v/>
      </c>
      <c r="F5" s="9">
        <f>'Income Statement'!I5</f>
        <v/>
      </c>
      <c r="G5" s="2" t="n"/>
      <c r="H5" s="2" t="n"/>
      <c r="I5" s="2" t="n"/>
    </row>
    <row r="6">
      <c r="A6" s="2" t="inlineStr">
        <is>
          <t>EBIT</t>
        </is>
      </c>
      <c r="B6" s="9">
        <f>'Income Statement'!E15</f>
        <v/>
      </c>
      <c r="C6" s="9">
        <f>'Income Statement'!F15</f>
        <v/>
      </c>
      <c r="D6" s="9">
        <f>'Income Statement'!G15</f>
        <v/>
      </c>
      <c r="E6" s="9">
        <f>'Income Statement'!H15</f>
        <v/>
      </c>
      <c r="F6" s="9">
        <f>'Income Statement'!I15</f>
        <v/>
      </c>
      <c r="G6" s="2" t="n"/>
      <c r="H6" s="2" t="n"/>
      <c r="I6" s="2" t="n"/>
    </row>
    <row r="7">
      <c r="A7" s="2" t="inlineStr">
        <is>
          <t>Tax Rate</t>
        </is>
      </c>
      <c r="B7" s="11">
        <f>Assumptions!E23</f>
        <v/>
      </c>
      <c r="C7" s="11">
        <f>Assumptions!F23</f>
        <v/>
      </c>
      <c r="D7" s="11">
        <f>Assumptions!G23</f>
        <v/>
      </c>
      <c r="E7" s="11">
        <f>Assumptions!H23</f>
        <v/>
      </c>
      <c r="F7" s="11">
        <f>Assumptions!I23</f>
        <v/>
      </c>
      <c r="G7" s="2" t="n"/>
      <c r="H7" s="2" t="n"/>
      <c r="I7" s="2" t="n"/>
    </row>
    <row r="8">
      <c r="A8" s="2" t="inlineStr">
        <is>
          <t>NOPAT</t>
        </is>
      </c>
      <c r="B8" s="9">
        <f>B6*(1-B7)</f>
        <v/>
      </c>
      <c r="C8" s="9">
        <f>C6*(1-C7)</f>
        <v/>
      </c>
      <c r="D8" s="9">
        <f>D6*(1-D7)</f>
        <v/>
      </c>
      <c r="E8" s="9">
        <f>E6*(1-E7)</f>
        <v/>
      </c>
      <c r="F8" s="9">
        <f>F6*(1-F7)</f>
        <v/>
      </c>
      <c r="G8" s="2" t="n"/>
      <c r="H8" s="2" t="n"/>
      <c r="I8" s="2" t="n"/>
    </row>
    <row r="9">
      <c r="A9" s="2" t="inlineStr">
        <is>
          <t>D&amp;A</t>
        </is>
      </c>
      <c r="B9" s="9">
        <f>'Income Statement'!E18</f>
        <v/>
      </c>
      <c r="C9" s="9">
        <f>'Income Statement'!F18</f>
        <v/>
      </c>
      <c r="D9" s="9">
        <f>'Income Statement'!G18</f>
        <v/>
      </c>
      <c r="E9" s="9">
        <f>'Income Statement'!H18</f>
        <v/>
      </c>
      <c r="F9" s="9">
        <f>'Income Statement'!I18</f>
        <v/>
      </c>
      <c r="G9" s="2" t="n"/>
      <c r="H9" s="2" t="n"/>
      <c r="I9" s="2" t="n"/>
    </row>
    <row r="10">
      <c r="A10" s="2" t="inlineStr">
        <is>
          <t>CapEx</t>
        </is>
      </c>
      <c r="B10" s="9">
        <f>'Cash Flow'!E11</f>
        <v/>
      </c>
      <c r="C10" s="9">
        <f>'Cash Flow'!F11</f>
        <v/>
      </c>
      <c r="D10" s="9">
        <f>'Cash Flow'!G11</f>
        <v/>
      </c>
      <c r="E10" s="9">
        <f>'Cash Flow'!H11</f>
        <v/>
      </c>
      <c r="F10" s="9">
        <f>'Cash Flow'!I11</f>
        <v/>
      </c>
      <c r="G10" s="2" t="n"/>
      <c r="H10" s="2" t="n"/>
      <c r="I10" s="2" t="n"/>
    </row>
    <row r="11">
      <c r="A11" s="2" t="inlineStr">
        <is>
          <t>Change in NWC</t>
        </is>
      </c>
      <c r="B11" s="9">
        <f>'Cash Flow'!E8</f>
        <v/>
      </c>
      <c r="C11" s="9">
        <f>'Cash Flow'!F8</f>
        <v/>
      </c>
      <c r="D11" s="9">
        <f>'Cash Flow'!G8</f>
        <v/>
      </c>
      <c r="E11" s="9">
        <f>'Cash Flow'!H8</f>
        <v/>
      </c>
      <c r="F11" s="9">
        <f>'Cash Flow'!I8</f>
        <v/>
      </c>
      <c r="G11" s="2" t="n"/>
      <c r="H11" s="2" t="n"/>
      <c r="I11" s="2" t="n"/>
    </row>
    <row r="12">
      <c r="A12" s="2" t="inlineStr">
        <is>
          <t>Unlevered FCF</t>
        </is>
      </c>
      <c r="B12" s="9">
        <f>B8+B9-B10-B11</f>
        <v/>
      </c>
      <c r="C12" s="9">
        <f>C8+C9-C10-C11</f>
        <v/>
      </c>
      <c r="D12" s="9">
        <f>D8+D9-D10-D11</f>
        <v/>
      </c>
      <c r="E12" s="9">
        <f>E8+E9-E10-E11</f>
        <v/>
      </c>
      <c r="F12" s="9">
        <f>F8+F9-F10-F11</f>
        <v/>
      </c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Discount Factor</t>
        </is>
      </c>
      <c r="B14" s="11">
        <f>1/(1+Assumptions!B30)^1</f>
        <v/>
      </c>
      <c r="C14" s="11">
        <f>1/(1+Assumptions!B30)^2</f>
        <v/>
      </c>
      <c r="D14" s="11">
        <f>1/(1+Assumptions!B30)^3</f>
        <v/>
      </c>
      <c r="E14" s="11">
        <f>1/(1+Assumptions!B30)^4</f>
        <v/>
      </c>
      <c r="F14" s="11">
        <f>1/(1+Assumptions!B30)^5</f>
        <v/>
      </c>
      <c r="G14" s="2" t="n"/>
      <c r="H14" s="2" t="n"/>
      <c r="I14" s="2" t="n"/>
    </row>
    <row r="15">
      <c r="A15" s="2" t="inlineStr">
        <is>
          <t>PV of FCF</t>
        </is>
      </c>
      <c r="B15" s="9">
        <f>B12*B14</f>
        <v/>
      </c>
      <c r="C15" s="9">
        <f>C12*C14</f>
        <v/>
      </c>
      <c r="D15" s="9">
        <f>D12*D14</f>
        <v/>
      </c>
      <c r="E15" s="9">
        <f>E12*E14</f>
        <v/>
      </c>
      <c r="F15" s="9">
        <f>F12*F14</f>
        <v/>
      </c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Terminal Growth</t>
        </is>
      </c>
      <c r="B17" s="11">
        <f>Assumptions!B31</f>
        <v/>
      </c>
      <c r="C17" s="11">
        <f>Assumptions!B31</f>
        <v/>
      </c>
      <c r="D17" s="11">
        <f>Assumptions!B31</f>
        <v/>
      </c>
      <c r="E17" s="11">
        <f>Assumptions!B31</f>
        <v/>
      </c>
      <c r="F17" s="11">
        <f>Assumptions!B31</f>
        <v/>
      </c>
      <c r="G17" s="2" t="n"/>
      <c r="H17" s="2" t="n"/>
      <c r="I17" s="2" t="n"/>
    </row>
    <row r="18">
      <c r="A18" s="2" t="inlineStr">
        <is>
          <t>Terminal Value</t>
        </is>
      </c>
      <c r="B18" s="12" t="n"/>
      <c r="C18" s="12" t="n"/>
      <c r="D18" s="12" t="n"/>
      <c r="E18" s="12" t="n"/>
      <c r="F18" s="9">
        <f>F12*(1+Assumptions!B31)/(Assumptions!B30-Assumptions!B31)</f>
        <v/>
      </c>
      <c r="G18" s="2" t="n"/>
      <c r="H18" s="2" t="n"/>
      <c r="I18" s="2" t="n"/>
    </row>
    <row r="19">
      <c r="A19" s="2" t="inlineStr">
        <is>
          <t>PV of Terminal Value</t>
        </is>
      </c>
      <c r="B19" s="12" t="n"/>
      <c r="C19" s="12" t="n"/>
      <c r="D19" s="12" t="n"/>
      <c r="E19" s="12" t="n"/>
      <c r="F19" s="9">
        <f>F18*F14</f>
        <v/>
      </c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4" t="inlineStr">
        <is>
          <t>Valuation Summary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2" t="inlineStr">
        <is>
          <t>PV of FCF</t>
        </is>
      </c>
      <c r="B22" s="9">
        <f>SUM(B15:F15)</f>
        <v/>
      </c>
      <c r="C22" s="12" t="n"/>
      <c r="D22" s="12" t="n"/>
      <c r="E22" s="12" t="n"/>
      <c r="F22" s="12" t="n"/>
      <c r="G22" s="2" t="n"/>
      <c r="H22" s="2" t="n"/>
      <c r="I22" s="2" t="n"/>
    </row>
    <row r="23">
      <c r="A23" s="2" t="inlineStr">
        <is>
          <t>PV of Terminal Value</t>
        </is>
      </c>
      <c r="B23" s="9">
        <f>F19</f>
        <v/>
      </c>
      <c r="C23" s="12" t="n"/>
      <c r="D23" s="12" t="n"/>
      <c r="E23" s="12" t="n"/>
      <c r="F23" s="12" t="n"/>
      <c r="G23" s="2" t="n"/>
      <c r="H23" s="2" t="n"/>
      <c r="I23" s="2" t="n"/>
    </row>
    <row r="24">
      <c r="A24" s="2" t="inlineStr">
        <is>
          <t>Enterprise Value</t>
        </is>
      </c>
      <c r="B24" s="9">
        <f>B22+B23</f>
        <v/>
      </c>
      <c r="C24" s="12" t="n"/>
      <c r="D24" s="12" t="n"/>
      <c r="E24" s="12" t="n"/>
      <c r="F24" s="12" t="n"/>
      <c r="G24" s="2" t="n"/>
      <c r="H24" s="2" t="n"/>
      <c r="I24" s="2" t="n"/>
    </row>
    <row r="25">
      <c r="A25" s="2" t="inlineStr">
        <is>
          <t>Cash</t>
        </is>
      </c>
      <c r="B25" s="9">
        <f>Assumptions!B33</f>
        <v/>
      </c>
      <c r="C25" s="12" t="n"/>
      <c r="D25" s="12" t="n"/>
      <c r="E25" s="12" t="n"/>
      <c r="F25" s="12" t="n"/>
      <c r="G25" s="2" t="n"/>
      <c r="H25" s="2" t="n"/>
      <c r="I25" s="2" t="n"/>
    </row>
    <row r="26">
      <c r="A26" s="2" t="inlineStr">
        <is>
          <t>Debt</t>
        </is>
      </c>
      <c r="B26" s="9">
        <f>Assumptions!B34</f>
        <v/>
      </c>
      <c r="C26" s="12" t="n"/>
      <c r="D26" s="12" t="n"/>
      <c r="E26" s="12" t="n"/>
      <c r="F26" s="12" t="n"/>
      <c r="G26" s="2" t="n"/>
      <c r="H26" s="2" t="n"/>
      <c r="I26" s="2" t="n"/>
    </row>
    <row r="27">
      <c r="A27" s="2" t="inlineStr">
        <is>
          <t>Equity Value</t>
        </is>
      </c>
      <c r="B27" s="9">
        <f>B24+B25-B26</f>
        <v/>
      </c>
      <c r="C27" s="12" t="n"/>
      <c r="D27" s="12" t="n"/>
      <c r="E27" s="12" t="n"/>
      <c r="F27" s="12" t="n"/>
      <c r="G27" s="2" t="n"/>
      <c r="H27" s="2" t="n"/>
      <c r="I27" s="2" t="n"/>
    </row>
    <row r="28">
      <c r="A28" s="2" t="inlineStr">
        <is>
          <t>Diluted Shares</t>
        </is>
      </c>
      <c r="B28" s="9">
        <f>Assumptions!B32</f>
        <v/>
      </c>
      <c r="C28" s="12" t="n"/>
      <c r="D28" s="12" t="n"/>
      <c r="E28" s="12" t="n"/>
      <c r="F28" s="12" t="n"/>
      <c r="G28" s="2" t="n"/>
      <c r="H28" s="2" t="n"/>
      <c r="I28" s="2" t="n"/>
    </row>
    <row r="29">
      <c r="A29" s="2" t="inlineStr">
        <is>
          <t>Implied Value / Share</t>
        </is>
      </c>
      <c r="B29" s="9">
        <f>B27/B28</f>
        <v/>
      </c>
      <c r="C29" s="12" t="n"/>
      <c r="D29" s="12" t="n"/>
      <c r="E29" s="12" t="n"/>
      <c r="F29" s="12" t="n"/>
      <c r="G29" s="2" t="n"/>
      <c r="H29" s="2" t="n"/>
      <c r="I29" s="2" t="n"/>
    </row>
    <row r="30">
      <c r="A30" s="2" t="inlineStr">
        <is>
          <t>Current Share Price</t>
        </is>
      </c>
      <c r="B30" s="9">
        <f>Assumptions!B35</f>
        <v/>
      </c>
      <c r="C30" s="12" t="n"/>
      <c r="D30" s="12" t="n"/>
      <c r="E30" s="12" t="n"/>
      <c r="F30" s="12" t="n"/>
      <c r="G30" s="2" t="n"/>
      <c r="H30" s="2" t="n"/>
      <c r="I30" s="2" t="n"/>
    </row>
    <row r="31">
      <c r="A31" s="2" t="inlineStr">
        <is>
          <t>Upside / (Downside)</t>
        </is>
      </c>
      <c r="B31" s="11">
        <f>IF(B30&gt;0,B29/B30-1,"")</f>
        <v/>
      </c>
      <c r="C31" s="10" t="n"/>
      <c r="D31" s="10" t="n"/>
      <c r="E31" s="10" t="n"/>
      <c r="F31" s="10" t="n"/>
      <c r="G31" s="2" t="n"/>
      <c r="H31" s="2" t="n"/>
      <c r="I31" s="2" t="n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DCF Sensitivity: WACC vs Terminal Growth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Implied Value / Share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WACC \ Terminal g</t>
        </is>
      </c>
      <c r="B4" s="13">
        <f>Assumptions!B31-0.010</f>
        <v/>
      </c>
      <c r="C4" s="13">
        <f>Assumptions!B31-0.005</f>
        <v/>
      </c>
      <c r="D4" s="13">
        <f>Assumptions!B31+0.000</f>
        <v/>
      </c>
      <c r="E4" s="13">
        <f>Assumptions!B31+0.005</f>
        <v/>
      </c>
      <c r="F4" s="13">
        <f>Assumptions!B31+0.010</f>
        <v/>
      </c>
      <c r="G4" s="2" t="n"/>
      <c r="H4" s="2" t="n"/>
    </row>
    <row r="5">
      <c r="A5" s="13">
        <f>Assumptions!B30-0.020</f>
        <v/>
      </c>
      <c r="B5" s="14">
        <f>(DCF!B12/(1+$A5)^1+DCF!C12/(1+$A5)^2+DCF!D12/(1+$A5)^3+DCF!E12/(1+$A5)^4+DCF!F12/(1+$A5)^5+DCF!F12*(1+B$4)/($A5-B$4)/(1+$A5)^5+DCF!B25-DCF!B26)/DCF!B28</f>
        <v/>
      </c>
      <c r="C5" s="14">
        <f>(DCF!B12/(1+$A5)^1+DCF!C12/(1+$A5)^2+DCF!D12/(1+$A5)^3+DCF!E12/(1+$A5)^4+DCF!F12/(1+$A5)^5+DCF!F12*(1+C$4)/($A5-C$4)/(1+$A5)^5+DCF!B25-DCF!B26)/DCF!B28</f>
        <v/>
      </c>
      <c r="D5" s="14">
        <f>(DCF!B12/(1+$A5)^1+DCF!C12/(1+$A5)^2+DCF!D12/(1+$A5)^3+DCF!E12/(1+$A5)^4+DCF!F12/(1+$A5)^5+DCF!F12*(1+D$4)/($A5-D$4)/(1+$A5)^5+DCF!B25-DCF!B26)/DCF!B28</f>
        <v/>
      </c>
      <c r="E5" s="14">
        <f>(DCF!B12/(1+$A5)^1+DCF!C12/(1+$A5)^2+DCF!D12/(1+$A5)^3+DCF!E12/(1+$A5)^4+DCF!F12/(1+$A5)^5+DCF!F12*(1+E$4)/($A5-E$4)/(1+$A5)^5+DCF!B25-DCF!B26)/DCF!B28</f>
        <v/>
      </c>
      <c r="F5" s="14">
        <f>(DCF!B12/(1+$A5)^1+DCF!C12/(1+$A5)^2+DCF!D12/(1+$A5)^3+DCF!E12/(1+$A5)^4+DCF!F12/(1+$A5)^5+DCF!F12*(1+F$4)/($A5-F$4)/(1+$A5)^5+DCF!B25-DCF!B26)/DCF!B28</f>
        <v/>
      </c>
      <c r="G5" s="2" t="n"/>
      <c r="H5" s="2" t="n"/>
    </row>
    <row r="6">
      <c r="A6" s="13">
        <f>Assumptions!B30-0.010</f>
        <v/>
      </c>
      <c r="B6" s="14">
        <f>(DCF!B12/(1+$A6)^1+DCF!C12/(1+$A6)^2+DCF!D12/(1+$A6)^3+DCF!E12/(1+$A6)^4+DCF!F12/(1+$A6)^5+DCF!F12*(1+B$4)/($A6-B$4)/(1+$A6)^5+DCF!B25-DCF!B26)/DCF!B28</f>
        <v/>
      </c>
      <c r="C6" s="14">
        <f>(DCF!B12/(1+$A6)^1+DCF!C12/(1+$A6)^2+DCF!D12/(1+$A6)^3+DCF!E12/(1+$A6)^4+DCF!F12/(1+$A6)^5+DCF!F12*(1+C$4)/($A6-C$4)/(1+$A6)^5+DCF!B25-DCF!B26)/DCF!B28</f>
        <v/>
      </c>
      <c r="D6" s="14">
        <f>(DCF!B12/(1+$A6)^1+DCF!C12/(1+$A6)^2+DCF!D12/(1+$A6)^3+DCF!E12/(1+$A6)^4+DCF!F12/(1+$A6)^5+DCF!F12*(1+D$4)/($A6-D$4)/(1+$A6)^5+DCF!B25-DCF!B26)/DCF!B28</f>
        <v/>
      </c>
      <c r="E6" s="14">
        <f>(DCF!B12/(1+$A6)^1+DCF!C12/(1+$A6)^2+DCF!D12/(1+$A6)^3+DCF!E12/(1+$A6)^4+DCF!F12/(1+$A6)^5+DCF!F12*(1+E$4)/($A6-E$4)/(1+$A6)^5+DCF!B25-DCF!B26)/DCF!B28</f>
        <v/>
      </c>
      <c r="F6" s="14">
        <f>(DCF!B12/(1+$A6)^1+DCF!C12/(1+$A6)^2+DCF!D12/(1+$A6)^3+DCF!E12/(1+$A6)^4+DCF!F12/(1+$A6)^5+DCF!F12*(1+F$4)/($A6-F$4)/(1+$A6)^5+DCF!B25-DCF!B26)/DCF!B28</f>
        <v/>
      </c>
      <c r="G6" s="2" t="n"/>
      <c r="H6" s="2" t="n"/>
    </row>
    <row r="7">
      <c r="A7" s="13">
        <f>Assumptions!B30+0.000</f>
        <v/>
      </c>
      <c r="B7" s="14">
        <f>(DCF!B12/(1+$A7)^1+DCF!C12/(1+$A7)^2+DCF!D12/(1+$A7)^3+DCF!E12/(1+$A7)^4+DCF!F12/(1+$A7)^5+DCF!F12*(1+B$4)/($A7-B$4)/(1+$A7)^5+DCF!B25-DCF!B26)/DCF!B28</f>
        <v/>
      </c>
      <c r="C7" s="14">
        <f>(DCF!B12/(1+$A7)^1+DCF!C12/(1+$A7)^2+DCF!D12/(1+$A7)^3+DCF!E12/(1+$A7)^4+DCF!F12/(1+$A7)^5+DCF!F12*(1+C$4)/($A7-C$4)/(1+$A7)^5+DCF!B25-DCF!B26)/DCF!B28</f>
        <v/>
      </c>
      <c r="D7" s="15">
        <f>(DCF!B12/(1+$A7)^1+DCF!C12/(1+$A7)^2+DCF!D12/(1+$A7)^3+DCF!E12/(1+$A7)^4+DCF!F12/(1+$A7)^5+DCF!F12*(1+D$4)/($A7-D$4)/(1+$A7)^5+DCF!B25-DCF!B26)/DCF!B28</f>
        <v/>
      </c>
      <c r="E7" s="14">
        <f>(DCF!B12/(1+$A7)^1+DCF!C12/(1+$A7)^2+DCF!D12/(1+$A7)^3+DCF!E12/(1+$A7)^4+DCF!F12/(1+$A7)^5+DCF!F12*(1+E$4)/($A7-E$4)/(1+$A7)^5+DCF!B25-DCF!B26)/DCF!B28</f>
        <v/>
      </c>
      <c r="F7" s="14">
        <f>(DCF!B12/(1+$A7)^1+DCF!C12/(1+$A7)^2+DCF!D12/(1+$A7)^3+DCF!E12/(1+$A7)^4+DCF!F12/(1+$A7)^5+DCF!F12*(1+F$4)/($A7-F$4)/(1+$A7)^5+DCF!B25-DCF!B26)/DCF!B28</f>
        <v/>
      </c>
      <c r="G7" s="2" t="n"/>
      <c r="H7" s="2" t="n"/>
    </row>
    <row r="8">
      <c r="A8" s="13">
        <f>Assumptions!B30+0.010</f>
        <v/>
      </c>
      <c r="B8" s="14">
        <f>(DCF!B12/(1+$A8)^1+DCF!C12/(1+$A8)^2+DCF!D12/(1+$A8)^3+DCF!E12/(1+$A8)^4+DCF!F12/(1+$A8)^5+DCF!F12*(1+B$4)/($A8-B$4)/(1+$A8)^5+DCF!B25-DCF!B26)/DCF!B28</f>
        <v/>
      </c>
      <c r="C8" s="14">
        <f>(DCF!B12/(1+$A8)^1+DCF!C12/(1+$A8)^2+DCF!D12/(1+$A8)^3+DCF!E12/(1+$A8)^4+DCF!F12/(1+$A8)^5+DCF!F12*(1+C$4)/($A8-C$4)/(1+$A8)^5+DCF!B25-DCF!B26)/DCF!B28</f>
        <v/>
      </c>
      <c r="D8" s="14">
        <f>(DCF!B12/(1+$A8)^1+DCF!C12/(1+$A8)^2+DCF!D12/(1+$A8)^3+DCF!E12/(1+$A8)^4+DCF!F12/(1+$A8)^5+DCF!F12*(1+D$4)/($A8-D$4)/(1+$A8)^5+DCF!B25-DCF!B26)/DCF!B28</f>
        <v/>
      </c>
      <c r="E8" s="14">
        <f>(DCF!B12/(1+$A8)^1+DCF!C12/(1+$A8)^2+DCF!D12/(1+$A8)^3+DCF!E12/(1+$A8)^4+DCF!F12/(1+$A8)^5+DCF!F12*(1+E$4)/($A8-E$4)/(1+$A8)^5+DCF!B25-DCF!B26)/DCF!B28</f>
        <v/>
      </c>
      <c r="F8" s="14">
        <f>(DCF!B12/(1+$A8)^1+DCF!C12/(1+$A8)^2+DCF!D12/(1+$A8)^3+DCF!E12/(1+$A8)^4+DCF!F12/(1+$A8)^5+DCF!F12*(1+F$4)/($A8-F$4)/(1+$A8)^5+DCF!B25-DCF!B26)/DCF!B28</f>
        <v/>
      </c>
      <c r="G8" s="2" t="n"/>
      <c r="H8" s="2" t="n"/>
    </row>
    <row r="9">
      <c r="A9" s="13">
        <f>Assumptions!B30+0.020</f>
        <v/>
      </c>
      <c r="B9" s="14">
        <f>(DCF!B12/(1+$A9)^1+DCF!C12/(1+$A9)^2+DCF!D12/(1+$A9)^3+DCF!E12/(1+$A9)^4+DCF!F12/(1+$A9)^5+DCF!F12*(1+B$4)/($A9-B$4)/(1+$A9)^5+DCF!B25-DCF!B26)/DCF!B28</f>
        <v/>
      </c>
      <c r="C9" s="14">
        <f>(DCF!B12/(1+$A9)^1+DCF!C12/(1+$A9)^2+DCF!D12/(1+$A9)^3+DCF!E12/(1+$A9)^4+DCF!F12/(1+$A9)^5+DCF!F12*(1+C$4)/($A9-C$4)/(1+$A9)^5+DCF!B25-DCF!B26)/DCF!B28</f>
        <v/>
      </c>
      <c r="D9" s="14">
        <f>(DCF!B12/(1+$A9)^1+DCF!C12/(1+$A9)^2+DCF!D12/(1+$A9)^3+DCF!E12/(1+$A9)^4+DCF!F12/(1+$A9)^5+DCF!F12*(1+D$4)/($A9-D$4)/(1+$A9)^5+DCF!B25-DCF!B26)/DCF!B28</f>
        <v/>
      </c>
      <c r="E9" s="14">
        <f>(DCF!B12/(1+$A9)^1+DCF!C12/(1+$A9)^2+DCF!D12/(1+$A9)^3+DCF!E12/(1+$A9)^4+DCF!F12/(1+$A9)^5+DCF!F12*(1+E$4)/($A9-E$4)/(1+$A9)^5+DCF!B25-DCF!B26)/DCF!B28</f>
        <v/>
      </c>
      <c r="F9" s="14">
        <f>(DCF!B12/(1+$A9)^1+DCF!C12/(1+$A9)^2+DCF!D12/(1+$A9)^3+DCF!E12/(1+$A9)^4+DCF!F12/(1+$A9)^5+DCF!F12*(1+F$4)/($A9-F$4)/(1+$A9)^5+DCF!B25-DCF!B26)/DCF!B28</f>
        <v/>
      </c>
      <c r="G9" s="2" t="n"/>
      <c r="H9" s="2" t="n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 Checks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Check</t>
        </is>
      </c>
      <c r="B3" s="3" t="inlineStr">
        <is>
          <t>Formula Result</t>
        </is>
      </c>
      <c r="C3" s="3" t="inlineStr">
        <is>
          <t>Status</t>
        </is>
      </c>
      <c r="D3" s="2" t="n"/>
      <c r="E3" s="2" t="n"/>
      <c r="F3" s="2" t="n"/>
      <c r="G3" s="2" t="n"/>
      <c r="H3" s="2" t="n"/>
    </row>
    <row r="4">
      <c r="A4" s="2" t="inlineStr">
        <is>
          <t>Revenue build equals IS revenue FY2025</t>
        </is>
      </c>
      <c r="B4" s="9">
        <f>'Revenue Build'!D25-'Income Statement'!D5</f>
        <v/>
      </c>
      <c r="C4" s="16">
        <f>IF(ABS(B4)&lt;0.01,"OK","Review")</f>
        <v/>
      </c>
      <c r="D4" s="2" t="n"/>
      <c r="E4" s="2" t="n"/>
      <c r="F4" s="2" t="n"/>
      <c r="G4" s="2" t="n"/>
      <c r="H4" s="2" t="n"/>
    </row>
    <row r="5">
      <c r="A5" s="2" t="inlineStr">
        <is>
          <t>Revenue build equals IS revenue FY2030E</t>
        </is>
      </c>
      <c r="B5" s="9">
        <f>'Revenue Build'!I25-'Income Statement'!I5</f>
        <v/>
      </c>
      <c r="C5" s="16">
        <f>IF(ABS(B5)&lt;0.01,"OK","Review")</f>
        <v/>
      </c>
      <c r="D5" s="2" t="n"/>
      <c r="E5" s="2" t="n"/>
      <c r="F5" s="2" t="n"/>
      <c r="G5" s="2" t="n"/>
      <c r="H5" s="2" t="n"/>
    </row>
    <row r="6">
      <c r="A6" s="2" t="inlineStr">
        <is>
          <t>BS balances FY2025</t>
        </is>
      </c>
      <c r="B6" s="9">
        <f>'Balance Sheet'!D29</f>
        <v/>
      </c>
      <c r="C6" s="16">
        <f>IF(ABS(B6)&lt;0.01,"OK","Review")</f>
        <v/>
      </c>
      <c r="D6" s="2" t="n"/>
      <c r="E6" s="2" t="n"/>
      <c r="F6" s="2" t="n"/>
      <c r="G6" s="2" t="n"/>
      <c r="H6" s="2" t="n"/>
    </row>
    <row r="7">
      <c r="A7" s="2" t="inlineStr">
        <is>
          <t>BS balances FY2030E</t>
        </is>
      </c>
      <c r="B7" s="9">
        <f>'Balance Sheet'!I29</f>
        <v/>
      </c>
      <c r="C7" s="16">
        <f>IF(ABS(B7)&lt;0.01,"OK","Review")</f>
        <v/>
      </c>
      <c r="D7" s="2" t="n"/>
      <c r="E7" s="2" t="n"/>
      <c r="F7" s="2" t="n"/>
      <c r="G7" s="2" t="n"/>
      <c r="H7" s="2" t="n"/>
    </row>
    <row r="8">
      <c r="A8" s="2" t="inlineStr">
        <is>
          <t>Cash ties FY2030E</t>
        </is>
      </c>
      <c r="B8" s="9">
        <f>'Cash Flow'!I21</f>
        <v/>
      </c>
      <c r="C8" s="16">
        <f>IF(ABS(B8)&lt;0.01,"OK","Review")</f>
        <v/>
      </c>
      <c r="D8" s="2" t="n"/>
      <c r="E8" s="2" t="n"/>
      <c r="F8" s="2" t="n"/>
      <c r="G8" s="2" t="n"/>
      <c r="H8" s="2" t="n"/>
    </row>
    <row r="9">
      <c r="A9" s="2" t="inlineStr">
        <is>
          <t>DCF uses FY2030E UFCF</t>
        </is>
      </c>
      <c r="B9" s="9">
        <f>'DCF'!F12-'Cash Flow'!I23</f>
        <v/>
      </c>
      <c r="C9" s="16">
        <f>IF(ABS(B9)&lt;0.01,"OK","Review")</f>
        <v/>
      </c>
      <c r="D9" s="2" t="n"/>
      <c r="E9" s="2" t="n"/>
      <c r="F9" s="2" t="n"/>
      <c r="G9" s="2" t="n"/>
      <c r="H9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2026-05-13T11:05:14Z</dcterms:created>
  <dcterms:modified xmlns:dcterms="http://purl.org/dc/terms/" xmlns:xsi="http://www.w3.org/2001/XMLSchema-instance" xsi:type="dcterms:W3CDTF">2026-05-13T11:05:14Z</dcterms:modified>
</cp:coreProperties>
</file>